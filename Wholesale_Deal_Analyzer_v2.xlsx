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al Analyzer" sheetId="1" state="visible" r:id="rId1"/>
    <sheet name="Monte Carl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;($#,##0);-"/>
    <numFmt numFmtId="165" formatCode="0.0%"/>
  </numFmts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595959"/>
      <sz val="9"/>
    </font>
    <font>
      <b val="1"/>
      <color rgb="001F4E78"/>
    </font>
    <font/>
    <font>
      <b val="1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4" fillId="0" borderId="0" applyAlignment="1" pivotButton="0" quotePrefix="0" xfId="0">
      <alignment vertical="center"/>
    </xf>
    <xf numFmtId="164" fontId="0" fillId="2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165" fontId="0" fillId="2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164" fontId="5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5" fontId="5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1" fontId="5" fillId="0" borderId="0" applyAlignment="1" pivotButton="0" quotePrefix="0" xfId="0">
      <alignment vertical="center"/>
    </xf>
    <xf numFmtId="0" fontId="5" fillId="3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cols>
    <col width="44" customWidth="1" min="1" max="1"/>
    <col width="18" customWidth="1" min="2" max="2"/>
    <col width="64" customWidth="1" min="3" max="3"/>
  </cols>
  <sheetData>
    <row r="1">
      <c r="A1" s="1" t="inlineStr">
        <is>
          <t>WHOLESALE DEAL ANALYZER v2 — Ohio (edit yellow cells)</t>
        </is>
      </c>
      <c r="B1" s="2" t="n"/>
      <c r="C1" s="3" t="n"/>
    </row>
    <row r="2">
      <c r="A2" s="4" t="inlineStr">
        <is>
          <t>Monte Carlo sheet re-runs 1,000 trials every time you press F9 (Cmd+= on Mac).</t>
        </is>
      </c>
      <c r="B2" s="2" t="n"/>
      <c r="C2" s="3" t="n"/>
    </row>
    <row r="3">
      <c r="A3" s="5" t="inlineStr">
        <is>
          <t>STEP 1 — INPUTS</t>
        </is>
      </c>
      <c r="B3" s="6" t="n"/>
      <c r="C3" s="7" t="n"/>
    </row>
    <row r="4">
      <c r="A4" s="8" t="inlineStr">
        <is>
          <t>ARV (After-Repair Value)</t>
        </is>
      </c>
      <c r="B4" s="9" t="n">
        <v>160000</v>
      </c>
      <c r="C4" s="10" t="inlineStr">
        <is>
          <t>What it sells for fully renovated — pull comps</t>
        </is>
      </c>
    </row>
    <row r="5">
      <c r="A5" s="8" t="inlineStr">
        <is>
          <t>Estimated rehab cost</t>
        </is>
      </c>
      <c r="B5" s="9" t="n">
        <v>40000</v>
      </c>
      <c r="C5" s="10" t="inlineStr">
        <is>
          <t>Contractor walk-through, before contingency</t>
        </is>
      </c>
    </row>
    <row r="6">
      <c r="A6" s="8" t="inlineStr">
        <is>
          <t>Rehab contingency %</t>
        </is>
      </c>
      <c r="B6" s="11" t="n">
        <v>0.15</v>
      </c>
      <c r="C6" s="10" t="inlineStr">
        <is>
          <t>Buffer for overruns — applied below (v1 recommended it but never used it)</t>
        </is>
      </c>
    </row>
    <row r="7">
      <c r="A7" s="8" t="inlineStr">
        <is>
          <t>Rule of thumb % (0.70 standard)</t>
        </is>
      </c>
      <c r="B7" s="11" t="n">
        <v>0.7</v>
      </c>
      <c r="C7" s="10" t="inlineStr">
        <is>
          <t>0.70 tight markets, 0.65 slow ones</t>
        </is>
      </c>
    </row>
    <row r="8">
      <c r="A8" s="8" t="inlineStr">
        <is>
          <t>Your target assignment fee</t>
        </is>
      </c>
      <c r="B8" s="9" t="n">
        <v>10000</v>
      </c>
      <c r="C8" s="10" t="inlineStr">
        <is>
          <t>Your profit — $5K–15K typical in OH</t>
        </is>
      </c>
    </row>
    <row r="9">
      <c r="A9" s="8" t="inlineStr">
        <is>
          <t>Earnest money deposit (EMD)</t>
        </is>
      </c>
      <c r="B9" s="9" t="n">
        <v>500</v>
      </c>
      <c r="C9" s="10" t="inlineStr">
        <is>
          <t>YOUR cash at risk — $100–1,000 typical</t>
        </is>
      </c>
    </row>
    <row r="10">
      <c r="A10" s="8" t="inlineStr">
        <is>
          <t>Marketing cost to find this deal</t>
        </is>
      </c>
      <c r="B10" s="9" t="n">
        <v>800</v>
      </c>
      <c r="C10" s="10" t="inlineStr">
        <is>
          <t>Mail / skip-trace / gas amortized per deal</t>
        </is>
      </c>
    </row>
    <row r="11">
      <c r="A11" s="8" t="inlineStr">
        <is>
          <t>Buyer's selling + closing + holding costs</t>
        </is>
      </c>
      <c r="B11" s="11" t="n">
        <v>0.1</v>
      </c>
      <c r="C11" s="10" t="inlineStr">
        <is>
          <t>% of ARV: agent ~5–6%, closing ~2%, holding/financing ~2–3%</t>
        </is>
      </c>
    </row>
    <row r="12">
      <c r="A12" s="8" t="inlineStr">
        <is>
          <t>Minimum buyer margin for a GO</t>
        </is>
      </c>
      <c r="B12" s="11" t="n">
        <v>0.2</v>
      </c>
      <c r="C12" s="10" t="inlineStr">
        <is>
          <t>Flippers want ~20%+ of ARV after ALL costs</t>
        </is>
      </c>
    </row>
    <row r="13">
      <c r="A13" s="8" t="inlineStr">
        <is>
          <t>Chance the assignment closes</t>
        </is>
      </c>
      <c r="B13" s="11" t="n">
        <v>0.7</v>
      </c>
      <c r="C13" s="10" t="inlineStr">
        <is>
          <t>Your own close rate on contracted deals</t>
        </is>
      </c>
    </row>
    <row r="14">
      <c r="A14" s="8" t="inlineStr">
        <is>
          <t>EMD lost if a deal falls through</t>
        </is>
      </c>
      <c r="B14" s="11" t="n">
        <v>0.5</v>
      </c>
      <c r="C14" s="10" t="inlineStr">
        <is>
          <t>0% with a solid inspection/assignment contingency; 100% if you're in breach</t>
        </is>
      </c>
    </row>
    <row r="15">
      <c r="A15" s="5" t="inlineStr">
        <is>
          <t>STEP 2 — MAXIMUM ALLOWABLE OFFER (MAO)</t>
        </is>
      </c>
      <c r="B15" s="6" t="n"/>
      <c r="C15" s="7" t="n"/>
    </row>
    <row r="16">
      <c r="A16" s="8" t="inlineStr">
        <is>
          <t>Rehab incl. contingency</t>
        </is>
      </c>
      <c r="B16" s="12">
        <f>B5*(1+B6)</f>
        <v/>
      </c>
      <c r="C16" s="10" t="inlineStr">
        <is>
          <t>What the buyer will actually spend</t>
        </is>
      </c>
    </row>
    <row r="17">
      <c r="A17" s="8" t="inlineStr">
        <is>
          <t>ARV x rule %</t>
        </is>
      </c>
      <c r="B17" s="12">
        <f>B4*B7</f>
        <v/>
      </c>
      <c r="C17" s="10" t="inlineStr">
        <is>
          <t>The 70% ceiling on total investment</t>
        </is>
      </c>
    </row>
    <row r="18">
      <c r="A18" s="8" t="inlineStr">
        <is>
          <t>Less: rehab incl. contingency</t>
        </is>
      </c>
      <c r="B18" s="12">
        <f>-B16</f>
        <v/>
      </c>
      <c r="C18" s="3" t="n"/>
    </row>
    <row r="19">
      <c r="A19" s="8" t="inlineStr">
        <is>
          <t>Less: your assignment fee</t>
        </is>
      </c>
      <c r="B19" s="12">
        <f>-B8</f>
        <v/>
      </c>
      <c r="C19" s="3" t="n"/>
    </row>
    <row r="20">
      <c r="A20" s="13" t="inlineStr">
        <is>
          <t>MAO — max you offer the seller</t>
        </is>
      </c>
      <c r="B20" s="14">
        <f>MAX(0,B17+B18+B19)</f>
        <v/>
      </c>
      <c r="C20" s="10" t="inlineStr">
        <is>
          <t>Offer at or BELOW this. This is the whole game.</t>
        </is>
      </c>
    </row>
    <row r="21">
      <c r="A21" s="2" t="n"/>
      <c r="B21" s="2" t="n"/>
      <c r="C21" s="3" t="n"/>
    </row>
    <row r="22">
      <c r="A22" s="5" t="inlineStr">
        <is>
          <t>STEP 3 — YOUR NUMBERS</t>
        </is>
      </c>
      <c r="B22" s="6" t="n"/>
      <c r="C22" s="7" t="n"/>
    </row>
    <row r="23">
      <c r="A23" s="8" t="inlineStr">
        <is>
          <t>Actual price you contract with seller</t>
        </is>
      </c>
      <c r="B23" s="9" t="n">
        <v>60000</v>
      </c>
      <c r="C23" s="10" t="inlineStr">
        <is>
          <t>Aim at/below MAO in B20</t>
        </is>
      </c>
    </row>
    <row r="24">
      <c r="A24" s="8" t="inlineStr">
        <is>
          <t>Price you assign to end buyer</t>
        </is>
      </c>
      <c r="B24" s="12">
        <f>B23+B8</f>
        <v/>
      </c>
      <c r="C24" s="10" t="inlineStr">
        <is>
          <t>Seller price + your fee</t>
        </is>
      </c>
    </row>
    <row r="25">
      <c r="A25" s="8" t="inlineStr">
        <is>
          <t>Your gross profit (assignment fee)</t>
        </is>
      </c>
      <c r="B25" s="12">
        <f>B8</f>
        <v/>
      </c>
      <c r="C25" s="3" t="n"/>
    </row>
    <row r="26">
      <c r="A26" s="8" t="inlineStr">
        <is>
          <t>Your net profit if it closes</t>
        </is>
      </c>
      <c r="B26" s="12">
        <f>B8-B10</f>
        <v/>
      </c>
      <c r="C26" s="10" t="inlineStr">
        <is>
          <t>Fee minus marketing</t>
        </is>
      </c>
    </row>
    <row r="27">
      <c r="A27" s="8" t="inlineStr">
        <is>
          <t>Cash you put at risk</t>
        </is>
      </c>
      <c r="B27" s="12">
        <f>B9+B10</f>
        <v/>
      </c>
      <c r="C27" s="10" t="inlineStr">
        <is>
          <t>EMD + marketing (v1 counted EMD only)</t>
        </is>
      </c>
    </row>
    <row r="28">
      <c r="A28" s="8" t="inlineStr">
        <is>
          <t>Return on cash at risk</t>
        </is>
      </c>
      <c r="B28" s="15">
        <f>IF(B27=0,0,B26/B27)</f>
        <v/>
      </c>
      <c r="C28" s="10" t="inlineStr">
        <is>
          <t>Net profit / (EMD + marketing)</t>
        </is>
      </c>
    </row>
    <row r="29">
      <c r="A29" s="13" t="inlineStr">
        <is>
          <t>Expected profit (weighted by close rate)</t>
        </is>
      </c>
      <c r="B29" s="14">
        <f>B13*B26-(1-B13)*(B10+B9*B14)</f>
        <v/>
      </c>
      <c r="C29" s="10" t="inlineStr">
        <is>
          <t>Closes: net profit. Falls through: lose marketing + the EMD share in B14</t>
        </is>
      </c>
    </row>
    <row r="30">
      <c r="A30" s="2" t="n"/>
      <c r="B30" s="2" t="n"/>
      <c r="C30" s="3" t="n"/>
    </row>
    <row r="31">
      <c r="A31" s="5" t="inlineStr">
        <is>
          <t>STEP 4 — DOES IT WORK FOR YOUR END BUYER?</t>
        </is>
      </c>
      <c r="B31" s="6" t="n"/>
      <c r="C31" s="7" t="n"/>
    </row>
    <row r="32">
      <c r="A32" s="4" t="inlineStr">
        <is>
          <t>A cash buyer/flipper only says yes if THEY still profit after every cost.</t>
        </is>
      </c>
      <c r="B32" s="2" t="n"/>
      <c r="C32" s="3" t="n"/>
    </row>
    <row r="33">
      <c r="A33" s="8" t="inlineStr">
        <is>
          <t>Buyer's all-in (assign + rehab + costs)</t>
        </is>
      </c>
      <c r="B33" s="12">
        <f>B24+B16+B4*B11</f>
        <v/>
      </c>
      <c r="C33" s="10" t="inlineStr">
        <is>
          <t>v1 omitted selling/closing/holding costs</t>
        </is>
      </c>
    </row>
    <row r="34">
      <c r="A34" s="8" t="inlineStr">
        <is>
          <t>Buyer's projected profit</t>
        </is>
      </c>
      <c r="B34" s="12">
        <f>B4-B33</f>
        <v/>
      </c>
      <c r="C34" s="10" t="inlineStr">
        <is>
          <t>ARV minus their true all-in</t>
        </is>
      </c>
    </row>
    <row r="35">
      <c r="A35" s="8" t="inlineStr">
        <is>
          <t>Buyer's margin vs ARV</t>
        </is>
      </c>
      <c r="B35" s="15">
        <f>IF(B4=0,0,B34/B4)</f>
        <v/>
      </c>
      <c r="C35" s="10" t="inlineStr">
        <is>
          <t>Compared with the minimum in B12</t>
        </is>
      </c>
    </row>
    <row r="36">
      <c r="A36" s="2" t="n"/>
      <c r="B36" s="2" t="n"/>
      <c r="C36" s="3" t="n"/>
    </row>
    <row r="37">
      <c r="A37" s="5" t="inlineStr">
        <is>
          <t>STEP 5 — GO / NO-GO SIGNAL</t>
        </is>
      </c>
      <c r="B37" s="6" t="n"/>
      <c r="C37" s="7" t="n"/>
    </row>
    <row r="38">
      <c r="A38" s="13" t="inlineStr">
        <is>
          <t>Deal signal</t>
        </is>
      </c>
      <c r="B38" s="13">
        <f>IF(B23&gt;B20,"NO-GO: offer above MAO",IF(B35&lt;B12,"WEAK: buyer margin below "&amp;TEXT(B12,"0%"),IF(B29&lt;=0,"NO-GO: expected profit ≤ 0","GO")))</f>
        <v/>
      </c>
      <c r="C38" s="10" t="inlineStr">
        <is>
          <t>GO needs: offer ≤ MAO, buyer margin ≥ B12, expected profit &gt; 0</t>
        </is>
      </c>
    </row>
    <row r="39">
      <c r="A39" s="13" t="inlineStr">
        <is>
          <t>Monte Carlo: chance the deal works</t>
        </is>
      </c>
      <c r="B39" s="16">
        <f>'Monte Carlo'!F5</f>
        <v/>
      </c>
      <c r="C39" s="10" t="inlineStr">
        <is>
          <t>Share of 1,000 simulated outcomes where it closes at a profit</t>
        </is>
      </c>
    </row>
    <row r="40">
      <c r="A40" s="2" t="n"/>
      <c r="B40" s="2" t="n"/>
      <c r="C40" s="3" t="n"/>
    </row>
    <row r="41">
      <c r="A41" s="5" t="inlineStr">
        <is>
          <t>OHIO MEDIAN PRICE REFERENCE (2026) — verify before relying on these</t>
        </is>
      </c>
      <c r="B41" s="6" t="n"/>
      <c r="C41" s="7" t="n"/>
    </row>
    <row r="42">
      <c r="A42" s="8" t="inlineStr">
        <is>
          <t>Cleveland median</t>
        </is>
      </c>
      <c r="B42" s="2" t="inlineStr">
        <is>
          <t>~$135,000</t>
        </is>
      </c>
      <c r="C42" s="3" t="n"/>
    </row>
    <row r="43">
      <c r="A43" s="8" t="inlineStr">
        <is>
          <t>Dayton median</t>
        </is>
      </c>
      <c r="B43" s="2" t="inlineStr">
        <is>
          <t>~$130,000</t>
        </is>
      </c>
      <c r="C43" s="3" t="n"/>
    </row>
    <row r="44">
      <c r="A44" s="8" t="inlineStr">
        <is>
          <t>Columbus median</t>
        </is>
      </c>
      <c r="B44" s="2" t="inlineStr">
        <is>
          <t>~$290,000</t>
        </is>
      </c>
      <c r="C44" s="3" t="n"/>
    </row>
    <row r="45">
      <c r="A45" s="8" t="inlineStr">
        <is>
          <t>Cincinnati</t>
        </is>
      </c>
      <c r="B45" s="2" t="inlineStr">
        <is>
          <t>varies widely by neighborhood — pull local comps</t>
        </is>
      </c>
      <c r="C45" s="3" t="n"/>
    </row>
    <row r="46">
      <c r="A46" s="8" t="inlineStr">
        <is>
          <t>Note</t>
        </is>
      </c>
      <c r="B46" s="2" t="inlineStr">
        <is>
          <t>NE Ohio (Cuyahoga, Lake) has deepest distressed pipeline</t>
        </is>
      </c>
      <c r="C46" s="3" t="n"/>
    </row>
    <row r="47">
      <c r="A47" s="2" t="n"/>
      <c r="B47" s="2" t="n"/>
      <c r="C47" s="3" t="n"/>
    </row>
    <row r="48">
      <c r="A48" s="4" t="inlineStr">
        <is>
          <t>Sources (from v1): ATTOM Q3 2025 flip data; realestateskills.com OH 2026 guide; ORC 5301.95 (SB155, eff. 3/2/2026). Figures are estimates — verify locally. Not legal or investment advice.</t>
        </is>
      </c>
      <c r="B48" s="2" t="n"/>
      <c r="C48" s="3" t="n"/>
    </row>
  </sheetData>
  <dataValidations count="2">
    <dataValidation sqref="B6 B7 B11 B12 B13 B14" showDropDown="0" showInputMessage="0" showErrorMessage="1" allowBlank="0" error="Enter a percentage between 0% and 100%" type="decimal" operator="between">
      <formula1>0</formula1>
      <formula2>1</formula2>
    </dataValidation>
    <dataValidation sqref="B4 B5 B8 B9 B10 B23" showDropDown="0" showInputMessage="0" showErrorMessage="1" allowBlank="0" error="Must be zero or more" type="decimal" operator="greaterThanOrEqual">
      <formula1>0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1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2" customWidth="1" min="5" max="5"/>
    <col width="12" customWidth="1" min="6" max="6"/>
    <col width="14" customWidth="1" min="7" max="7"/>
    <col width="4" customWidth="1" min="8" max="8"/>
    <col width="40" customWidth="1" min="9" max="9"/>
    <col width="14" customWidth="1" min="10" max="10"/>
  </cols>
  <sheetData>
    <row r="1">
      <c r="A1" s="1" t="inlineStr">
        <is>
          <t>MONTE CARLO — 1,000 live trials (press F9 to re-run)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s="4" t="inlineStr">
        <is>
          <t>Each trial draws an ARV, a rehab overrun and whether the deal closes, then recomputes the buyer's margin and your profit.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A3" s="17" t="inlineStr">
        <is>
          <t>RESULTS</t>
        </is>
      </c>
      <c r="B3" s="2" t="n"/>
      <c r="C3" s="2" t="n"/>
      <c r="D3" s="2" t="n"/>
      <c r="E3" s="2" t="n"/>
      <c r="F3" s="2" t="n"/>
      <c r="G3" s="2" t="n"/>
      <c r="H3" s="2" t="n"/>
      <c r="I3" s="17" t="inlineStr">
        <is>
          <t>ASSUMPTIONS (edit yellow)</t>
        </is>
      </c>
      <c r="J3" s="2" t="n"/>
      <c r="K3" s="2" t="n"/>
    </row>
    <row r="4">
      <c r="A4" s="2" t="inlineStr">
        <is>
          <t>Trials</t>
        </is>
      </c>
      <c r="B4" s="18">
        <f>COUNT(B12:B1011)</f>
        <v/>
      </c>
      <c r="C4" s="2" t="n"/>
      <c r="D4" s="2" t="n"/>
      <c r="E4" s="2" t="n"/>
      <c r="F4" s="2" t="n"/>
      <c r="G4" s="2" t="n"/>
      <c r="H4" s="2" t="n"/>
      <c r="I4" s="2" t="inlineStr">
        <is>
          <t>ARV uncertainty (std dev)</t>
        </is>
      </c>
      <c r="J4" s="11" t="n">
        <v>0.08</v>
      </c>
      <c r="K4" s="4" t="inlineStr">
        <is>
          <t>Comps are rarely tighter than ±8%</t>
        </is>
      </c>
    </row>
    <row r="5">
      <c r="A5" s="2" t="inlineStr">
        <is>
          <t>Deal works (closes at a profit)</t>
        </is>
      </c>
      <c r="B5" s="2" t="n"/>
      <c r="C5" s="2" t="n"/>
      <c r="D5" s="2" t="n"/>
      <c r="E5" s="2" t="n"/>
      <c r="F5" s="16">
        <f>COUNTIF(G12:G1011,"&gt;0")/B4</f>
        <v/>
      </c>
      <c r="G5" s="2" t="n"/>
      <c r="H5" s="2" t="n"/>
      <c r="I5" s="2" t="inlineStr">
        <is>
          <t>Rehab overrun: mean</t>
        </is>
      </c>
      <c r="J5" s="11" t="n">
        <v>0.1</v>
      </c>
      <c r="K5" s="4" t="inlineStr">
        <is>
          <t>Average overrun on the base estimate, before contingency</t>
        </is>
      </c>
    </row>
    <row r="6">
      <c r="A6" s="2" t="inlineStr">
        <is>
          <t>Buyer margin ≥ minimum</t>
        </is>
      </c>
      <c r="B6" s="2" t="n"/>
      <c r="C6" s="2" t="n"/>
      <c r="D6" s="2" t="n"/>
      <c r="E6" s="2" t="n"/>
      <c r="F6" s="16">
        <f>COUNTIF(F12:F1011,TRUE)/B4</f>
        <v/>
      </c>
      <c r="G6" s="2" t="n"/>
      <c r="H6" s="2" t="n"/>
      <c r="I6" s="2" t="inlineStr">
        <is>
          <t>Rehab overrun: std dev</t>
        </is>
      </c>
      <c r="J6" s="11" t="n">
        <v>0.15</v>
      </c>
      <c r="K6" s="4" t="inlineStr">
        <is>
          <t>Spread of overruns</t>
        </is>
      </c>
    </row>
    <row r="7">
      <c r="A7" s="2" t="inlineStr">
        <is>
          <t>Average profit per deal</t>
        </is>
      </c>
      <c r="B7" s="2" t="n"/>
      <c r="C7" s="2" t="n"/>
      <c r="D7" s="2" t="n"/>
      <c r="E7" s="2" t="n"/>
      <c r="F7" s="14">
        <f>AVERAGE(G12:G1011)</f>
        <v/>
      </c>
      <c r="G7" s="2" t="n"/>
      <c r="H7" s="2" t="n"/>
      <c r="I7" s="2" t="inlineStr">
        <is>
          <t>Other fall-through risk</t>
        </is>
      </c>
      <c r="J7" s="15">
        <f>'Deal Analyzer'!B13</f>
        <v/>
      </c>
      <c r="K7" s="4" t="inlineStr">
        <is>
          <t>From the analyzer's close rate</t>
        </is>
      </c>
    </row>
    <row r="8">
      <c r="A8" s="2" t="inlineStr">
        <is>
          <t>Chance you lose money</t>
        </is>
      </c>
      <c r="B8" s="2" t="n"/>
      <c r="C8" s="2" t="n"/>
      <c r="D8" s="2" t="n"/>
      <c r="E8" s="2" t="n"/>
      <c r="F8" s="16">
        <f>COUNTIF(G12:G1011,"&lt;0")/B4</f>
        <v/>
      </c>
      <c r="G8" s="2" t="n"/>
      <c r="H8" s="2" t="n"/>
      <c r="I8" s="2" t="n"/>
      <c r="J8" s="2" t="n"/>
      <c r="K8" s="2" t="n"/>
    </row>
    <row r="9">
      <c r="A9" s="2" t="inlineStr">
        <is>
          <t>Buyer margin: 5th / median / 95th pct</t>
        </is>
      </c>
      <c r="B9" s="2" t="n"/>
      <c r="C9" s="2" t="n"/>
      <c r="D9" s="16">
        <f>PERCENTILE(E12:E1011,0.05)</f>
        <v/>
      </c>
      <c r="E9" s="16">
        <f>MEDIAN(E12:E1011)</f>
        <v/>
      </c>
      <c r="F9" s="16">
        <f>PERCENTILE(E12:E1011,0.95)</f>
        <v/>
      </c>
      <c r="G9" s="2" t="n"/>
      <c r="H9" s="2" t="n"/>
      <c r="I9" s="2" t="n"/>
      <c r="J9" s="2" t="n"/>
      <c r="K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</row>
    <row r="11">
      <c r="A11" s="19" t="inlineStr">
        <is>
          <t>Trial</t>
        </is>
      </c>
      <c r="B11" s="19" t="inlineStr">
        <is>
          <t>ARV draw</t>
        </is>
      </c>
      <c r="C11" s="19" t="inlineStr">
        <is>
          <t>Rehab draw</t>
        </is>
      </c>
      <c r="D11" s="19" t="inlineStr">
        <is>
          <t>Buyer all-in</t>
        </is>
      </c>
      <c r="E11" s="19" t="inlineStr">
        <is>
          <t>Buyer margin</t>
        </is>
      </c>
      <c r="F11" s="19" t="inlineStr">
        <is>
          <t>Buyer bites</t>
        </is>
      </c>
      <c r="G11" s="19" t="inlineStr">
        <is>
          <t>Your profit</t>
        </is>
      </c>
      <c r="H11" s="2" t="n"/>
      <c r="I11" s="2" t="n"/>
      <c r="J11" s="2" t="n"/>
      <c r="K11" s="2" t="n"/>
    </row>
    <row r="12">
      <c r="A12" s="2" t="n">
        <v>1</v>
      </c>
      <c r="B12" s="12">
        <f>MAX(0,'Deal Analyzer'!$B$4*(1+NORM.INV(RAND(),0,$J$4)))</f>
        <v/>
      </c>
      <c r="C12" s="12">
        <f>'Deal Analyzer'!$B$5*MAX(0.9,1+NORM.INV(RAND(),$J$5,$J$6))</f>
        <v/>
      </c>
      <c r="D12" s="12">
        <f>'Deal Analyzer'!$B$24+C12+B12*'Deal Analyzer'!$B$11</f>
        <v/>
      </c>
      <c r="E12" s="15">
        <f>IF(B12=0,0,(B12-D12)/B12)</f>
        <v/>
      </c>
      <c r="F12" s="2">
        <f>E12&gt;='Deal Analyzer'!$B$12</f>
        <v/>
      </c>
      <c r="G12" s="12">
        <f>IF(AND(F12,RAND()&lt;$J$7),'Deal Analyzer'!$B$8-'Deal Analyzer'!$B$10,-('Deal Analyzer'!$B$10+'Deal Analyzer'!$B$9*'Deal Analyzer'!$B$14))</f>
        <v/>
      </c>
      <c r="H12" s="2" t="n"/>
      <c r="I12" s="2" t="n"/>
      <c r="J12" s="2" t="n"/>
      <c r="K12" s="2" t="n"/>
    </row>
    <row r="13">
      <c r="A13" s="2" t="n">
        <v>2</v>
      </c>
      <c r="B13" s="12">
        <f>MAX(0,'Deal Analyzer'!$B$4*(1+NORM.INV(RAND(),0,$J$4)))</f>
        <v/>
      </c>
      <c r="C13" s="12">
        <f>'Deal Analyzer'!$B$5*MAX(0.9,1+NORM.INV(RAND(),$J$5,$J$6))</f>
        <v/>
      </c>
      <c r="D13" s="12">
        <f>'Deal Analyzer'!$B$24+C13+B13*'Deal Analyzer'!$B$11</f>
        <v/>
      </c>
      <c r="E13" s="15">
        <f>IF(B13=0,0,(B13-D13)/B13)</f>
        <v/>
      </c>
      <c r="F13" s="2">
        <f>E13&gt;='Deal Analyzer'!$B$12</f>
        <v/>
      </c>
      <c r="G13" s="12">
        <f>IF(AND(F13,RAND()&lt;$J$7),'Deal Analyzer'!$B$8-'Deal Analyzer'!$B$10,-('Deal Analyzer'!$B$10+'Deal Analyzer'!$B$9*'Deal Analyzer'!$B$14))</f>
        <v/>
      </c>
      <c r="H13" s="2" t="n"/>
      <c r="I13" s="2" t="n"/>
      <c r="J13" s="2" t="n"/>
      <c r="K13" s="2" t="n"/>
    </row>
    <row r="14">
      <c r="A14" s="2" t="n">
        <v>3</v>
      </c>
      <c r="B14" s="12">
        <f>MAX(0,'Deal Analyzer'!$B$4*(1+NORM.INV(RAND(),0,$J$4)))</f>
        <v/>
      </c>
      <c r="C14" s="12">
        <f>'Deal Analyzer'!$B$5*MAX(0.9,1+NORM.INV(RAND(),$J$5,$J$6))</f>
        <v/>
      </c>
      <c r="D14" s="12">
        <f>'Deal Analyzer'!$B$24+C14+B14*'Deal Analyzer'!$B$11</f>
        <v/>
      </c>
      <c r="E14" s="15">
        <f>IF(B14=0,0,(B14-D14)/B14)</f>
        <v/>
      </c>
      <c r="F14" s="2">
        <f>E14&gt;='Deal Analyzer'!$B$12</f>
        <v/>
      </c>
      <c r="G14" s="12">
        <f>IF(AND(F14,RAND()&lt;$J$7),'Deal Analyzer'!$B$8-'Deal Analyzer'!$B$10,-('Deal Analyzer'!$B$10+'Deal Analyzer'!$B$9*'Deal Analyzer'!$B$14))</f>
        <v/>
      </c>
      <c r="H14" s="2" t="n"/>
      <c r="I14" s="2" t="n"/>
      <c r="J14" s="2" t="n"/>
      <c r="K14" s="2" t="n"/>
    </row>
    <row r="15">
      <c r="A15" s="2" t="n">
        <v>4</v>
      </c>
      <c r="B15" s="12">
        <f>MAX(0,'Deal Analyzer'!$B$4*(1+NORM.INV(RAND(),0,$J$4)))</f>
        <v/>
      </c>
      <c r="C15" s="12">
        <f>'Deal Analyzer'!$B$5*MAX(0.9,1+NORM.INV(RAND(),$J$5,$J$6))</f>
        <v/>
      </c>
      <c r="D15" s="12">
        <f>'Deal Analyzer'!$B$24+C15+B15*'Deal Analyzer'!$B$11</f>
        <v/>
      </c>
      <c r="E15" s="15">
        <f>IF(B15=0,0,(B15-D15)/B15)</f>
        <v/>
      </c>
      <c r="F15" s="2">
        <f>E15&gt;='Deal Analyzer'!$B$12</f>
        <v/>
      </c>
      <c r="G15" s="12">
        <f>IF(AND(F15,RAND()&lt;$J$7),'Deal Analyzer'!$B$8-'Deal Analyzer'!$B$10,-('Deal Analyzer'!$B$10+'Deal Analyzer'!$B$9*'Deal Analyzer'!$B$14))</f>
        <v/>
      </c>
      <c r="H15" s="2" t="n"/>
      <c r="I15" s="2" t="n"/>
      <c r="J15" s="2" t="n"/>
      <c r="K15" s="2" t="n"/>
    </row>
    <row r="16">
      <c r="A16" s="2" t="n">
        <v>5</v>
      </c>
      <c r="B16" s="12">
        <f>MAX(0,'Deal Analyzer'!$B$4*(1+NORM.INV(RAND(),0,$J$4)))</f>
        <v/>
      </c>
      <c r="C16" s="12">
        <f>'Deal Analyzer'!$B$5*MAX(0.9,1+NORM.INV(RAND(),$J$5,$J$6))</f>
        <v/>
      </c>
      <c r="D16" s="12">
        <f>'Deal Analyzer'!$B$24+C16+B16*'Deal Analyzer'!$B$11</f>
        <v/>
      </c>
      <c r="E16" s="15">
        <f>IF(B16=0,0,(B16-D16)/B16)</f>
        <v/>
      </c>
      <c r="F16" s="2">
        <f>E16&gt;='Deal Analyzer'!$B$12</f>
        <v/>
      </c>
      <c r="G16" s="12">
        <f>IF(AND(F16,RAND()&lt;$J$7),'Deal Analyzer'!$B$8-'Deal Analyzer'!$B$10,-('Deal Analyzer'!$B$10+'Deal Analyzer'!$B$9*'Deal Analyzer'!$B$14))</f>
        <v/>
      </c>
      <c r="H16" s="2" t="n"/>
      <c r="I16" s="2" t="n"/>
      <c r="J16" s="2" t="n"/>
      <c r="K16" s="2" t="n"/>
    </row>
    <row r="17">
      <c r="A17" s="2" t="n">
        <v>6</v>
      </c>
      <c r="B17" s="12">
        <f>MAX(0,'Deal Analyzer'!$B$4*(1+NORM.INV(RAND(),0,$J$4)))</f>
        <v/>
      </c>
      <c r="C17" s="12">
        <f>'Deal Analyzer'!$B$5*MAX(0.9,1+NORM.INV(RAND(),$J$5,$J$6))</f>
        <v/>
      </c>
      <c r="D17" s="12">
        <f>'Deal Analyzer'!$B$24+C17+B17*'Deal Analyzer'!$B$11</f>
        <v/>
      </c>
      <c r="E17" s="15">
        <f>IF(B17=0,0,(B17-D17)/B17)</f>
        <v/>
      </c>
      <c r="F17" s="2">
        <f>E17&gt;='Deal Analyzer'!$B$12</f>
        <v/>
      </c>
      <c r="G17" s="12">
        <f>IF(AND(F17,RAND()&lt;$J$7),'Deal Analyzer'!$B$8-'Deal Analyzer'!$B$10,-('Deal Analyzer'!$B$10+'Deal Analyzer'!$B$9*'Deal Analyzer'!$B$14))</f>
        <v/>
      </c>
      <c r="H17" s="2" t="n"/>
      <c r="I17" s="2" t="n"/>
      <c r="J17" s="2" t="n"/>
      <c r="K17" s="2" t="n"/>
    </row>
    <row r="18">
      <c r="A18" s="2" t="n">
        <v>7</v>
      </c>
      <c r="B18" s="12">
        <f>MAX(0,'Deal Analyzer'!$B$4*(1+NORM.INV(RAND(),0,$J$4)))</f>
        <v/>
      </c>
      <c r="C18" s="12">
        <f>'Deal Analyzer'!$B$5*MAX(0.9,1+NORM.INV(RAND(),$J$5,$J$6))</f>
        <v/>
      </c>
      <c r="D18" s="12">
        <f>'Deal Analyzer'!$B$24+C18+B18*'Deal Analyzer'!$B$11</f>
        <v/>
      </c>
      <c r="E18" s="15">
        <f>IF(B18=0,0,(B18-D18)/B18)</f>
        <v/>
      </c>
      <c r="F18" s="2">
        <f>E18&gt;='Deal Analyzer'!$B$12</f>
        <v/>
      </c>
      <c r="G18" s="12">
        <f>IF(AND(F18,RAND()&lt;$J$7),'Deal Analyzer'!$B$8-'Deal Analyzer'!$B$10,-('Deal Analyzer'!$B$10+'Deal Analyzer'!$B$9*'Deal Analyzer'!$B$14))</f>
        <v/>
      </c>
      <c r="H18" s="2" t="n"/>
      <c r="I18" s="2" t="n"/>
      <c r="J18" s="2" t="n"/>
      <c r="K18" s="2" t="n"/>
    </row>
    <row r="19">
      <c r="A19" s="2" t="n">
        <v>8</v>
      </c>
      <c r="B19" s="12">
        <f>MAX(0,'Deal Analyzer'!$B$4*(1+NORM.INV(RAND(),0,$J$4)))</f>
        <v/>
      </c>
      <c r="C19" s="12">
        <f>'Deal Analyzer'!$B$5*MAX(0.9,1+NORM.INV(RAND(),$J$5,$J$6))</f>
        <v/>
      </c>
      <c r="D19" s="12">
        <f>'Deal Analyzer'!$B$24+C19+B19*'Deal Analyzer'!$B$11</f>
        <v/>
      </c>
      <c r="E19" s="15">
        <f>IF(B19=0,0,(B19-D19)/B19)</f>
        <v/>
      </c>
      <c r="F19" s="2">
        <f>E19&gt;='Deal Analyzer'!$B$12</f>
        <v/>
      </c>
      <c r="G19" s="12">
        <f>IF(AND(F19,RAND()&lt;$J$7),'Deal Analyzer'!$B$8-'Deal Analyzer'!$B$10,-('Deal Analyzer'!$B$10+'Deal Analyzer'!$B$9*'Deal Analyzer'!$B$14))</f>
        <v/>
      </c>
      <c r="H19" s="2" t="n"/>
      <c r="I19" s="2" t="n"/>
      <c r="J19" s="2" t="n"/>
      <c r="K19" s="2" t="n"/>
    </row>
    <row r="20">
      <c r="A20" s="2" t="n">
        <v>9</v>
      </c>
      <c r="B20" s="12">
        <f>MAX(0,'Deal Analyzer'!$B$4*(1+NORM.INV(RAND(),0,$J$4)))</f>
        <v/>
      </c>
      <c r="C20" s="12">
        <f>'Deal Analyzer'!$B$5*MAX(0.9,1+NORM.INV(RAND(),$J$5,$J$6))</f>
        <v/>
      </c>
      <c r="D20" s="12">
        <f>'Deal Analyzer'!$B$24+C20+B20*'Deal Analyzer'!$B$11</f>
        <v/>
      </c>
      <c r="E20" s="15">
        <f>IF(B20=0,0,(B20-D20)/B20)</f>
        <v/>
      </c>
      <c r="F20" s="2">
        <f>E20&gt;='Deal Analyzer'!$B$12</f>
        <v/>
      </c>
      <c r="G20" s="12">
        <f>IF(AND(F20,RAND()&lt;$J$7),'Deal Analyzer'!$B$8-'Deal Analyzer'!$B$10,-('Deal Analyzer'!$B$10+'Deal Analyzer'!$B$9*'Deal Analyzer'!$B$14))</f>
        <v/>
      </c>
      <c r="H20" s="2" t="n"/>
      <c r="I20" s="2" t="n"/>
      <c r="J20" s="2" t="n"/>
      <c r="K20" s="2" t="n"/>
    </row>
    <row r="21">
      <c r="A21" s="2" t="n">
        <v>10</v>
      </c>
      <c r="B21" s="12">
        <f>MAX(0,'Deal Analyzer'!$B$4*(1+NORM.INV(RAND(),0,$J$4)))</f>
        <v/>
      </c>
      <c r="C21" s="12">
        <f>'Deal Analyzer'!$B$5*MAX(0.9,1+NORM.INV(RAND(),$J$5,$J$6))</f>
        <v/>
      </c>
      <c r="D21" s="12">
        <f>'Deal Analyzer'!$B$24+C21+B21*'Deal Analyzer'!$B$11</f>
        <v/>
      </c>
      <c r="E21" s="15">
        <f>IF(B21=0,0,(B21-D21)/B21)</f>
        <v/>
      </c>
      <c r="F21" s="2">
        <f>E21&gt;='Deal Analyzer'!$B$12</f>
        <v/>
      </c>
      <c r="G21" s="12">
        <f>IF(AND(F21,RAND()&lt;$J$7),'Deal Analyzer'!$B$8-'Deal Analyzer'!$B$10,-('Deal Analyzer'!$B$10+'Deal Analyzer'!$B$9*'Deal Analyzer'!$B$14))</f>
        <v/>
      </c>
      <c r="H21" s="2" t="n"/>
      <c r="I21" s="2" t="n"/>
      <c r="J21" s="2" t="n"/>
      <c r="K21" s="2" t="n"/>
    </row>
    <row r="22">
      <c r="A22" s="2" t="n">
        <v>11</v>
      </c>
      <c r="B22" s="12">
        <f>MAX(0,'Deal Analyzer'!$B$4*(1+NORM.INV(RAND(),0,$J$4)))</f>
        <v/>
      </c>
      <c r="C22" s="12">
        <f>'Deal Analyzer'!$B$5*MAX(0.9,1+NORM.INV(RAND(),$J$5,$J$6))</f>
        <v/>
      </c>
      <c r="D22" s="12">
        <f>'Deal Analyzer'!$B$24+C22+B22*'Deal Analyzer'!$B$11</f>
        <v/>
      </c>
      <c r="E22" s="15">
        <f>IF(B22=0,0,(B22-D22)/B22)</f>
        <v/>
      </c>
      <c r="F22" s="2">
        <f>E22&gt;='Deal Analyzer'!$B$12</f>
        <v/>
      </c>
      <c r="G22" s="12">
        <f>IF(AND(F22,RAND()&lt;$J$7),'Deal Analyzer'!$B$8-'Deal Analyzer'!$B$10,-('Deal Analyzer'!$B$10+'Deal Analyzer'!$B$9*'Deal Analyzer'!$B$14))</f>
        <v/>
      </c>
      <c r="H22" s="2" t="n"/>
      <c r="I22" s="2" t="n"/>
      <c r="J22" s="2" t="n"/>
      <c r="K22" s="2" t="n"/>
    </row>
    <row r="23">
      <c r="A23" s="2" t="n">
        <v>12</v>
      </c>
      <c r="B23" s="12">
        <f>MAX(0,'Deal Analyzer'!$B$4*(1+NORM.INV(RAND(),0,$J$4)))</f>
        <v/>
      </c>
      <c r="C23" s="12">
        <f>'Deal Analyzer'!$B$5*MAX(0.9,1+NORM.INV(RAND(),$J$5,$J$6))</f>
        <v/>
      </c>
      <c r="D23" s="12">
        <f>'Deal Analyzer'!$B$24+C23+B23*'Deal Analyzer'!$B$11</f>
        <v/>
      </c>
      <c r="E23" s="15">
        <f>IF(B23=0,0,(B23-D23)/B23)</f>
        <v/>
      </c>
      <c r="F23" s="2">
        <f>E23&gt;='Deal Analyzer'!$B$12</f>
        <v/>
      </c>
      <c r="G23" s="12">
        <f>IF(AND(F23,RAND()&lt;$J$7),'Deal Analyzer'!$B$8-'Deal Analyzer'!$B$10,-('Deal Analyzer'!$B$10+'Deal Analyzer'!$B$9*'Deal Analyzer'!$B$14))</f>
        <v/>
      </c>
      <c r="H23" s="2" t="n"/>
      <c r="I23" s="2" t="n"/>
      <c r="J23" s="2" t="n"/>
      <c r="K23" s="2" t="n"/>
    </row>
    <row r="24">
      <c r="A24" s="2" t="n">
        <v>13</v>
      </c>
      <c r="B24" s="12">
        <f>MAX(0,'Deal Analyzer'!$B$4*(1+NORM.INV(RAND(),0,$J$4)))</f>
        <v/>
      </c>
      <c r="C24" s="12">
        <f>'Deal Analyzer'!$B$5*MAX(0.9,1+NORM.INV(RAND(),$J$5,$J$6))</f>
        <v/>
      </c>
      <c r="D24" s="12">
        <f>'Deal Analyzer'!$B$24+C24+B24*'Deal Analyzer'!$B$11</f>
        <v/>
      </c>
      <c r="E24" s="15">
        <f>IF(B24=0,0,(B24-D24)/B24)</f>
        <v/>
      </c>
      <c r="F24" s="2">
        <f>E24&gt;='Deal Analyzer'!$B$12</f>
        <v/>
      </c>
      <c r="G24" s="12">
        <f>IF(AND(F24,RAND()&lt;$J$7),'Deal Analyzer'!$B$8-'Deal Analyzer'!$B$10,-('Deal Analyzer'!$B$10+'Deal Analyzer'!$B$9*'Deal Analyzer'!$B$14))</f>
        <v/>
      </c>
      <c r="H24" s="2" t="n"/>
      <c r="I24" s="2" t="n"/>
      <c r="J24" s="2" t="n"/>
      <c r="K24" s="2" t="n"/>
    </row>
    <row r="25">
      <c r="A25" s="2" t="n">
        <v>14</v>
      </c>
      <c r="B25" s="12">
        <f>MAX(0,'Deal Analyzer'!$B$4*(1+NORM.INV(RAND(),0,$J$4)))</f>
        <v/>
      </c>
      <c r="C25" s="12">
        <f>'Deal Analyzer'!$B$5*MAX(0.9,1+NORM.INV(RAND(),$J$5,$J$6))</f>
        <v/>
      </c>
      <c r="D25" s="12">
        <f>'Deal Analyzer'!$B$24+C25+B25*'Deal Analyzer'!$B$11</f>
        <v/>
      </c>
      <c r="E25" s="15">
        <f>IF(B25=0,0,(B25-D25)/B25)</f>
        <v/>
      </c>
      <c r="F25" s="2">
        <f>E25&gt;='Deal Analyzer'!$B$12</f>
        <v/>
      </c>
      <c r="G25" s="12">
        <f>IF(AND(F25,RAND()&lt;$J$7),'Deal Analyzer'!$B$8-'Deal Analyzer'!$B$10,-('Deal Analyzer'!$B$10+'Deal Analyzer'!$B$9*'Deal Analyzer'!$B$14))</f>
        <v/>
      </c>
      <c r="H25" s="2" t="n"/>
      <c r="I25" s="2" t="n"/>
      <c r="J25" s="2" t="n"/>
      <c r="K25" s="2" t="n"/>
    </row>
    <row r="26">
      <c r="A26" s="2" t="n">
        <v>15</v>
      </c>
      <c r="B26" s="12">
        <f>MAX(0,'Deal Analyzer'!$B$4*(1+NORM.INV(RAND(),0,$J$4)))</f>
        <v/>
      </c>
      <c r="C26" s="12">
        <f>'Deal Analyzer'!$B$5*MAX(0.9,1+NORM.INV(RAND(),$J$5,$J$6))</f>
        <v/>
      </c>
      <c r="D26" s="12">
        <f>'Deal Analyzer'!$B$24+C26+B26*'Deal Analyzer'!$B$11</f>
        <v/>
      </c>
      <c r="E26" s="15">
        <f>IF(B26=0,0,(B26-D26)/B26)</f>
        <v/>
      </c>
      <c r="F26" s="2">
        <f>E26&gt;='Deal Analyzer'!$B$12</f>
        <v/>
      </c>
      <c r="G26" s="12">
        <f>IF(AND(F26,RAND()&lt;$J$7),'Deal Analyzer'!$B$8-'Deal Analyzer'!$B$10,-('Deal Analyzer'!$B$10+'Deal Analyzer'!$B$9*'Deal Analyzer'!$B$14))</f>
        <v/>
      </c>
      <c r="H26" s="2" t="n"/>
      <c r="I26" s="2" t="n"/>
      <c r="J26" s="2" t="n"/>
      <c r="K26" s="2" t="n"/>
    </row>
    <row r="27">
      <c r="A27" s="2" t="n">
        <v>16</v>
      </c>
      <c r="B27" s="12">
        <f>MAX(0,'Deal Analyzer'!$B$4*(1+NORM.INV(RAND(),0,$J$4)))</f>
        <v/>
      </c>
      <c r="C27" s="12">
        <f>'Deal Analyzer'!$B$5*MAX(0.9,1+NORM.INV(RAND(),$J$5,$J$6))</f>
        <v/>
      </c>
      <c r="D27" s="12">
        <f>'Deal Analyzer'!$B$24+C27+B27*'Deal Analyzer'!$B$11</f>
        <v/>
      </c>
      <c r="E27" s="15">
        <f>IF(B27=0,0,(B27-D27)/B27)</f>
        <v/>
      </c>
      <c r="F27" s="2">
        <f>E27&gt;='Deal Analyzer'!$B$12</f>
        <v/>
      </c>
      <c r="G27" s="12">
        <f>IF(AND(F27,RAND()&lt;$J$7),'Deal Analyzer'!$B$8-'Deal Analyzer'!$B$10,-('Deal Analyzer'!$B$10+'Deal Analyzer'!$B$9*'Deal Analyzer'!$B$14))</f>
        <v/>
      </c>
      <c r="H27" s="2" t="n"/>
      <c r="I27" s="2" t="n"/>
      <c r="J27" s="2" t="n"/>
      <c r="K27" s="2" t="n"/>
    </row>
    <row r="28">
      <c r="A28" s="2" t="n">
        <v>17</v>
      </c>
      <c r="B28" s="12">
        <f>MAX(0,'Deal Analyzer'!$B$4*(1+NORM.INV(RAND(),0,$J$4)))</f>
        <v/>
      </c>
      <c r="C28" s="12">
        <f>'Deal Analyzer'!$B$5*MAX(0.9,1+NORM.INV(RAND(),$J$5,$J$6))</f>
        <v/>
      </c>
      <c r="D28" s="12">
        <f>'Deal Analyzer'!$B$24+C28+B28*'Deal Analyzer'!$B$11</f>
        <v/>
      </c>
      <c r="E28" s="15">
        <f>IF(B28=0,0,(B28-D28)/B28)</f>
        <v/>
      </c>
      <c r="F28" s="2">
        <f>E28&gt;='Deal Analyzer'!$B$12</f>
        <v/>
      </c>
      <c r="G28" s="12">
        <f>IF(AND(F28,RAND()&lt;$J$7),'Deal Analyzer'!$B$8-'Deal Analyzer'!$B$10,-('Deal Analyzer'!$B$10+'Deal Analyzer'!$B$9*'Deal Analyzer'!$B$14))</f>
        <v/>
      </c>
      <c r="H28" s="2" t="n"/>
      <c r="I28" s="2" t="n"/>
      <c r="J28" s="2" t="n"/>
      <c r="K28" s="2" t="n"/>
    </row>
    <row r="29">
      <c r="A29" s="2" t="n">
        <v>18</v>
      </c>
      <c r="B29" s="12">
        <f>MAX(0,'Deal Analyzer'!$B$4*(1+NORM.INV(RAND(),0,$J$4)))</f>
        <v/>
      </c>
      <c r="C29" s="12">
        <f>'Deal Analyzer'!$B$5*MAX(0.9,1+NORM.INV(RAND(),$J$5,$J$6))</f>
        <v/>
      </c>
      <c r="D29" s="12">
        <f>'Deal Analyzer'!$B$24+C29+B29*'Deal Analyzer'!$B$11</f>
        <v/>
      </c>
      <c r="E29" s="15">
        <f>IF(B29=0,0,(B29-D29)/B29)</f>
        <v/>
      </c>
      <c r="F29" s="2">
        <f>E29&gt;='Deal Analyzer'!$B$12</f>
        <v/>
      </c>
      <c r="G29" s="12">
        <f>IF(AND(F29,RAND()&lt;$J$7),'Deal Analyzer'!$B$8-'Deal Analyzer'!$B$10,-('Deal Analyzer'!$B$10+'Deal Analyzer'!$B$9*'Deal Analyzer'!$B$14))</f>
        <v/>
      </c>
      <c r="H29" s="2" t="n"/>
      <c r="I29" s="2" t="n"/>
      <c r="J29" s="2" t="n"/>
      <c r="K29" s="2" t="n"/>
    </row>
    <row r="30">
      <c r="A30" s="2" t="n">
        <v>19</v>
      </c>
      <c r="B30" s="12">
        <f>MAX(0,'Deal Analyzer'!$B$4*(1+NORM.INV(RAND(),0,$J$4)))</f>
        <v/>
      </c>
      <c r="C30" s="12">
        <f>'Deal Analyzer'!$B$5*MAX(0.9,1+NORM.INV(RAND(),$J$5,$J$6))</f>
        <v/>
      </c>
      <c r="D30" s="12">
        <f>'Deal Analyzer'!$B$24+C30+B30*'Deal Analyzer'!$B$11</f>
        <v/>
      </c>
      <c r="E30" s="15">
        <f>IF(B30=0,0,(B30-D30)/B30)</f>
        <v/>
      </c>
      <c r="F30" s="2">
        <f>E30&gt;='Deal Analyzer'!$B$12</f>
        <v/>
      </c>
      <c r="G30" s="12">
        <f>IF(AND(F30,RAND()&lt;$J$7),'Deal Analyzer'!$B$8-'Deal Analyzer'!$B$10,-('Deal Analyzer'!$B$10+'Deal Analyzer'!$B$9*'Deal Analyzer'!$B$14))</f>
        <v/>
      </c>
      <c r="H30" s="2" t="n"/>
      <c r="I30" s="2" t="n"/>
      <c r="J30" s="2" t="n"/>
      <c r="K30" s="2" t="n"/>
    </row>
    <row r="31">
      <c r="A31" s="2" t="n">
        <v>20</v>
      </c>
      <c r="B31" s="12">
        <f>MAX(0,'Deal Analyzer'!$B$4*(1+NORM.INV(RAND(),0,$J$4)))</f>
        <v/>
      </c>
      <c r="C31" s="12">
        <f>'Deal Analyzer'!$B$5*MAX(0.9,1+NORM.INV(RAND(),$J$5,$J$6))</f>
        <v/>
      </c>
      <c r="D31" s="12">
        <f>'Deal Analyzer'!$B$24+C31+B31*'Deal Analyzer'!$B$11</f>
        <v/>
      </c>
      <c r="E31" s="15">
        <f>IF(B31=0,0,(B31-D31)/B31)</f>
        <v/>
      </c>
      <c r="F31" s="2">
        <f>E31&gt;='Deal Analyzer'!$B$12</f>
        <v/>
      </c>
      <c r="G31" s="12">
        <f>IF(AND(F31,RAND()&lt;$J$7),'Deal Analyzer'!$B$8-'Deal Analyzer'!$B$10,-('Deal Analyzer'!$B$10+'Deal Analyzer'!$B$9*'Deal Analyzer'!$B$14))</f>
        <v/>
      </c>
      <c r="H31" s="2" t="n"/>
      <c r="I31" s="2" t="n"/>
      <c r="J31" s="2" t="n"/>
      <c r="K31" s="2" t="n"/>
    </row>
    <row r="32">
      <c r="A32" s="2" t="n">
        <v>21</v>
      </c>
      <c r="B32" s="12">
        <f>MAX(0,'Deal Analyzer'!$B$4*(1+NORM.INV(RAND(),0,$J$4)))</f>
        <v/>
      </c>
      <c r="C32" s="12">
        <f>'Deal Analyzer'!$B$5*MAX(0.9,1+NORM.INV(RAND(),$J$5,$J$6))</f>
        <v/>
      </c>
      <c r="D32" s="12">
        <f>'Deal Analyzer'!$B$24+C32+B32*'Deal Analyzer'!$B$11</f>
        <v/>
      </c>
      <c r="E32" s="15">
        <f>IF(B32=0,0,(B32-D32)/B32)</f>
        <v/>
      </c>
      <c r="F32" s="2">
        <f>E32&gt;='Deal Analyzer'!$B$12</f>
        <v/>
      </c>
      <c r="G32" s="12">
        <f>IF(AND(F32,RAND()&lt;$J$7),'Deal Analyzer'!$B$8-'Deal Analyzer'!$B$10,-('Deal Analyzer'!$B$10+'Deal Analyzer'!$B$9*'Deal Analyzer'!$B$14))</f>
        <v/>
      </c>
      <c r="H32" s="2" t="n"/>
      <c r="I32" s="2" t="n"/>
      <c r="J32" s="2" t="n"/>
      <c r="K32" s="2" t="n"/>
    </row>
    <row r="33">
      <c r="A33" s="2" t="n">
        <v>22</v>
      </c>
      <c r="B33" s="12">
        <f>MAX(0,'Deal Analyzer'!$B$4*(1+NORM.INV(RAND(),0,$J$4)))</f>
        <v/>
      </c>
      <c r="C33" s="12">
        <f>'Deal Analyzer'!$B$5*MAX(0.9,1+NORM.INV(RAND(),$J$5,$J$6))</f>
        <v/>
      </c>
      <c r="D33" s="12">
        <f>'Deal Analyzer'!$B$24+C33+B33*'Deal Analyzer'!$B$11</f>
        <v/>
      </c>
      <c r="E33" s="15">
        <f>IF(B33=0,0,(B33-D33)/B33)</f>
        <v/>
      </c>
      <c r="F33" s="2">
        <f>E33&gt;='Deal Analyzer'!$B$12</f>
        <v/>
      </c>
      <c r="G33" s="12">
        <f>IF(AND(F33,RAND()&lt;$J$7),'Deal Analyzer'!$B$8-'Deal Analyzer'!$B$10,-('Deal Analyzer'!$B$10+'Deal Analyzer'!$B$9*'Deal Analyzer'!$B$14))</f>
        <v/>
      </c>
      <c r="H33" s="2" t="n"/>
      <c r="I33" s="2" t="n"/>
      <c r="J33" s="2" t="n"/>
      <c r="K33" s="2" t="n"/>
    </row>
    <row r="34">
      <c r="A34" s="2" t="n">
        <v>23</v>
      </c>
      <c r="B34" s="12">
        <f>MAX(0,'Deal Analyzer'!$B$4*(1+NORM.INV(RAND(),0,$J$4)))</f>
        <v/>
      </c>
      <c r="C34" s="12">
        <f>'Deal Analyzer'!$B$5*MAX(0.9,1+NORM.INV(RAND(),$J$5,$J$6))</f>
        <v/>
      </c>
      <c r="D34" s="12">
        <f>'Deal Analyzer'!$B$24+C34+B34*'Deal Analyzer'!$B$11</f>
        <v/>
      </c>
      <c r="E34" s="15">
        <f>IF(B34=0,0,(B34-D34)/B34)</f>
        <v/>
      </c>
      <c r="F34" s="2">
        <f>E34&gt;='Deal Analyzer'!$B$12</f>
        <v/>
      </c>
      <c r="G34" s="12">
        <f>IF(AND(F34,RAND()&lt;$J$7),'Deal Analyzer'!$B$8-'Deal Analyzer'!$B$10,-('Deal Analyzer'!$B$10+'Deal Analyzer'!$B$9*'Deal Analyzer'!$B$14))</f>
        <v/>
      </c>
      <c r="H34" s="2" t="n"/>
      <c r="I34" s="2" t="n"/>
      <c r="J34" s="2" t="n"/>
      <c r="K34" s="2" t="n"/>
    </row>
    <row r="35">
      <c r="A35" s="2" t="n">
        <v>24</v>
      </c>
      <c r="B35" s="12">
        <f>MAX(0,'Deal Analyzer'!$B$4*(1+NORM.INV(RAND(),0,$J$4)))</f>
        <v/>
      </c>
      <c r="C35" s="12">
        <f>'Deal Analyzer'!$B$5*MAX(0.9,1+NORM.INV(RAND(),$J$5,$J$6))</f>
        <v/>
      </c>
      <c r="D35" s="12">
        <f>'Deal Analyzer'!$B$24+C35+B35*'Deal Analyzer'!$B$11</f>
        <v/>
      </c>
      <c r="E35" s="15">
        <f>IF(B35=0,0,(B35-D35)/B35)</f>
        <v/>
      </c>
      <c r="F35" s="2">
        <f>E35&gt;='Deal Analyzer'!$B$12</f>
        <v/>
      </c>
      <c r="G35" s="12">
        <f>IF(AND(F35,RAND()&lt;$J$7),'Deal Analyzer'!$B$8-'Deal Analyzer'!$B$10,-('Deal Analyzer'!$B$10+'Deal Analyzer'!$B$9*'Deal Analyzer'!$B$14))</f>
        <v/>
      </c>
      <c r="H35" s="2" t="n"/>
      <c r="I35" s="2" t="n"/>
      <c r="J35" s="2" t="n"/>
      <c r="K35" s="2" t="n"/>
    </row>
    <row r="36">
      <c r="A36" s="2" t="n">
        <v>25</v>
      </c>
      <c r="B36" s="12">
        <f>MAX(0,'Deal Analyzer'!$B$4*(1+NORM.INV(RAND(),0,$J$4)))</f>
        <v/>
      </c>
      <c r="C36" s="12">
        <f>'Deal Analyzer'!$B$5*MAX(0.9,1+NORM.INV(RAND(),$J$5,$J$6))</f>
        <v/>
      </c>
      <c r="D36" s="12">
        <f>'Deal Analyzer'!$B$24+C36+B36*'Deal Analyzer'!$B$11</f>
        <v/>
      </c>
      <c r="E36" s="15">
        <f>IF(B36=0,0,(B36-D36)/B36)</f>
        <v/>
      </c>
      <c r="F36" s="2">
        <f>E36&gt;='Deal Analyzer'!$B$12</f>
        <v/>
      </c>
      <c r="G36" s="12">
        <f>IF(AND(F36,RAND()&lt;$J$7),'Deal Analyzer'!$B$8-'Deal Analyzer'!$B$10,-('Deal Analyzer'!$B$10+'Deal Analyzer'!$B$9*'Deal Analyzer'!$B$14))</f>
        <v/>
      </c>
      <c r="H36" s="2" t="n"/>
      <c r="I36" s="2" t="n"/>
      <c r="J36" s="2" t="n"/>
      <c r="K36" s="2" t="n"/>
    </row>
    <row r="37">
      <c r="A37" s="2" t="n">
        <v>26</v>
      </c>
      <c r="B37" s="12">
        <f>MAX(0,'Deal Analyzer'!$B$4*(1+NORM.INV(RAND(),0,$J$4)))</f>
        <v/>
      </c>
      <c r="C37" s="12">
        <f>'Deal Analyzer'!$B$5*MAX(0.9,1+NORM.INV(RAND(),$J$5,$J$6))</f>
        <v/>
      </c>
      <c r="D37" s="12">
        <f>'Deal Analyzer'!$B$24+C37+B37*'Deal Analyzer'!$B$11</f>
        <v/>
      </c>
      <c r="E37" s="15">
        <f>IF(B37=0,0,(B37-D37)/B37)</f>
        <v/>
      </c>
      <c r="F37" s="2">
        <f>E37&gt;='Deal Analyzer'!$B$12</f>
        <v/>
      </c>
      <c r="G37" s="12">
        <f>IF(AND(F37,RAND()&lt;$J$7),'Deal Analyzer'!$B$8-'Deal Analyzer'!$B$10,-('Deal Analyzer'!$B$10+'Deal Analyzer'!$B$9*'Deal Analyzer'!$B$14))</f>
        <v/>
      </c>
      <c r="H37" s="2" t="n"/>
      <c r="I37" s="2" t="n"/>
      <c r="J37" s="2" t="n"/>
      <c r="K37" s="2" t="n"/>
    </row>
    <row r="38">
      <c r="A38" s="2" t="n">
        <v>27</v>
      </c>
      <c r="B38" s="12">
        <f>MAX(0,'Deal Analyzer'!$B$4*(1+NORM.INV(RAND(),0,$J$4)))</f>
        <v/>
      </c>
      <c r="C38" s="12">
        <f>'Deal Analyzer'!$B$5*MAX(0.9,1+NORM.INV(RAND(),$J$5,$J$6))</f>
        <v/>
      </c>
      <c r="D38" s="12">
        <f>'Deal Analyzer'!$B$24+C38+B38*'Deal Analyzer'!$B$11</f>
        <v/>
      </c>
      <c r="E38" s="15">
        <f>IF(B38=0,0,(B38-D38)/B38)</f>
        <v/>
      </c>
      <c r="F38" s="2">
        <f>E38&gt;='Deal Analyzer'!$B$12</f>
        <v/>
      </c>
      <c r="G38" s="12">
        <f>IF(AND(F38,RAND()&lt;$J$7),'Deal Analyzer'!$B$8-'Deal Analyzer'!$B$10,-('Deal Analyzer'!$B$10+'Deal Analyzer'!$B$9*'Deal Analyzer'!$B$14))</f>
        <v/>
      </c>
      <c r="H38" s="2" t="n"/>
      <c r="I38" s="2" t="n"/>
      <c r="J38" s="2" t="n"/>
      <c r="K38" s="2" t="n"/>
    </row>
    <row r="39">
      <c r="A39" s="2" t="n">
        <v>28</v>
      </c>
      <c r="B39" s="12">
        <f>MAX(0,'Deal Analyzer'!$B$4*(1+NORM.INV(RAND(),0,$J$4)))</f>
        <v/>
      </c>
      <c r="C39" s="12">
        <f>'Deal Analyzer'!$B$5*MAX(0.9,1+NORM.INV(RAND(),$J$5,$J$6))</f>
        <v/>
      </c>
      <c r="D39" s="12">
        <f>'Deal Analyzer'!$B$24+C39+B39*'Deal Analyzer'!$B$11</f>
        <v/>
      </c>
      <c r="E39" s="15">
        <f>IF(B39=0,0,(B39-D39)/B39)</f>
        <v/>
      </c>
      <c r="F39" s="2">
        <f>E39&gt;='Deal Analyzer'!$B$12</f>
        <v/>
      </c>
      <c r="G39" s="12">
        <f>IF(AND(F39,RAND()&lt;$J$7),'Deal Analyzer'!$B$8-'Deal Analyzer'!$B$10,-('Deal Analyzer'!$B$10+'Deal Analyzer'!$B$9*'Deal Analyzer'!$B$14))</f>
        <v/>
      </c>
      <c r="H39" s="2" t="n"/>
      <c r="I39" s="2" t="n"/>
      <c r="J39" s="2" t="n"/>
      <c r="K39" s="2" t="n"/>
    </row>
    <row r="40">
      <c r="A40" s="2" t="n">
        <v>29</v>
      </c>
      <c r="B40" s="12">
        <f>MAX(0,'Deal Analyzer'!$B$4*(1+NORM.INV(RAND(),0,$J$4)))</f>
        <v/>
      </c>
      <c r="C40" s="12">
        <f>'Deal Analyzer'!$B$5*MAX(0.9,1+NORM.INV(RAND(),$J$5,$J$6))</f>
        <v/>
      </c>
      <c r="D40" s="12">
        <f>'Deal Analyzer'!$B$24+C40+B40*'Deal Analyzer'!$B$11</f>
        <v/>
      </c>
      <c r="E40" s="15">
        <f>IF(B40=0,0,(B40-D40)/B40)</f>
        <v/>
      </c>
      <c r="F40" s="2">
        <f>E40&gt;='Deal Analyzer'!$B$12</f>
        <v/>
      </c>
      <c r="G40" s="12">
        <f>IF(AND(F40,RAND()&lt;$J$7),'Deal Analyzer'!$B$8-'Deal Analyzer'!$B$10,-('Deal Analyzer'!$B$10+'Deal Analyzer'!$B$9*'Deal Analyzer'!$B$14))</f>
        <v/>
      </c>
      <c r="H40" s="2" t="n"/>
      <c r="I40" s="2" t="n"/>
      <c r="J40" s="2" t="n"/>
      <c r="K40" s="2" t="n"/>
    </row>
    <row r="41">
      <c r="A41" s="2" t="n">
        <v>30</v>
      </c>
      <c r="B41" s="12">
        <f>MAX(0,'Deal Analyzer'!$B$4*(1+NORM.INV(RAND(),0,$J$4)))</f>
        <v/>
      </c>
      <c r="C41" s="12">
        <f>'Deal Analyzer'!$B$5*MAX(0.9,1+NORM.INV(RAND(),$J$5,$J$6))</f>
        <v/>
      </c>
      <c r="D41" s="12">
        <f>'Deal Analyzer'!$B$24+C41+B41*'Deal Analyzer'!$B$11</f>
        <v/>
      </c>
      <c r="E41" s="15">
        <f>IF(B41=0,0,(B41-D41)/B41)</f>
        <v/>
      </c>
      <c r="F41" s="2">
        <f>E41&gt;='Deal Analyzer'!$B$12</f>
        <v/>
      </c>
      <c r="G41" s="12">
        <f>IF(AND(F41,RAND()&lt;$J$7),'Deal Analyzer'!$B$8-'Deal Analyzer'!$B$10,-('Deal Analyzer'!$B$10+'Deal Analyzer'!$B$9*'Deal Analyzer'!$B$14))</f>
        <v/>
      </c>
      <c r="H41" s="2" t="n"/>
      <c r="I41" s="2" t="n"/>
      <c r="J41" s="2" t="n"/>
      <c r="K41" s="2" t="n"/>
    </row>
    <row r="42">
      <c r="A42" s="2" t="n">
        <v>31</v>
      </c>
      <c r="B42" s="12">
        <f>MAX(0,'Deal Analyzer'!$B$4*(1+NORM.INV(RAND(),0,$J$4)))</f>
        <v/>
      </c>
      <c r="C42" s="12">
        <f>'Deal Analyzer'!$B$5*MAX(0.9,1+NORM.INV(RAND(),$J$5,$J$6))</f>
        <v/>
      </c>
      <c r="D42" s="12">
        <f>'Deal Analyzer'!$B$24+C42+B42*'Deal Analyzer'!$B$11</f>
        <v/>
      </c>
      <c r="E42" s="15">
        <f>IF(B42=0,0,(B42-D42)/B42)</f>
        <v/>
      </c>
      <c r="F42" s="2">
        <f>E42&gt;='Deal Analyzer'!$B$12</f>
        <v/>
      </c>
      <c r="G42" s="12">
        <f>IF(AND(F42,RAND()&lt;$J$7),'Deal Analyzer'!$B$8-'Deal Analyzer'!$B$10,-('Deal Analyzer'!$B$10+'Deal Analyzer'!$B$9*'Deal Analyzer'!$B$14))</f>
        <v/>
      </c>
      <c r="H42" s="2" t="n"/>
      <c r="I42" s="2" t="n"/>
      <c r="J42" s="2" t="n"/>
      <c r="K42" s="2" t="n"/>
    </row>
    <row r="43">
      <c r="A43" s="2" t="n">
        <v>32</v>
      </c>
      <c r="B43" s="12">
        <f>MAX(0,'Deal Analyzer'!$B$4*(1+NORM.INV(RAND(),0,$J$4)))</f>
        <v/>
      </c>
      <c r="C43" s="12">
        <f>'Deal Analyzer'!$B$5*MAX(0.9,1+NORM.INV(RAND(),$J$5,$J$6))</f>
        <v/>
      </c>
      <c r="D43" s="12">
        <f>'Deal Analyzer'!$B$24+C43+B43*'Deal Analyzer'!$B$11</f>
        <v/>
      </c>
      <c r="E43" s="15">
        <f>IF(B43=0,0,(B43-D43)/B43)</f>
        <v/>
      </c>
      <c r="F43" s="2">
        <f>E43&gt;='Deal Analyzer'!$B$12</f>
        <v/>
      </c>
      <c r="G43" s="12">
        <f>IF(AND(F43,RAND()&lt;$J$7),'Deal Analyzer'!$B$8-'Deal Analyzer'!$B$10,-('Deal Analyzer'!$B$10+'Deal Analyzer'!$B$9*'Deal Analyzer'!$B$14))</f>
        <v/>
      </c>
      <c r="H43" s="2" t="n"/>
      <c r="I43" s="2" t="n"/>
      <c r="J43" s="2" t="n"/>
      <c r="K43" s="2" t="n"/>
    </row>
    <row r="44">
      <c r="A44" s="2" t="n">
        <v>33</v>
      </c>
      <c r="B44" s="12">
        <f>MAX(0,'Deal Analyzer'!$B$4*(1+NORM.INV(RAND(),0,$J$4)))</f>
        <v/>
      </c>
      <c r="C44" s="12">
        <f>'Deal Analyzer'!$B$5*MAX(0.9,1+NORM.INV(RAND(),$J$5,$J$6))</f>
        <v/>
      </c>
      <c r="D44" s="12">
        <f>'Deal Analyzer'!$B$24+C44+B44*'Deal Analyzer'!$B$11</f>
        <v/>
      </c>
      <c r="E44" s="15">
        <f>IF(B44=0,0,(B44-D44)/B44)</f>
        <v/>
      </c>
      <c r="F44" s="2">
        <f>E44&gt;='Deal Analyzer'!$B$12</f>
        <v/>
      </c>
      <c r="G44" s="12">
        <f>IF(AND(F44,RAND()&lt;$J$7),'Deal Analyzer'!$B$8-'Deal Analyzer'!$B$10,-('Deal Analyzer'!$B$10+'Deal Analyzer'!$B$9*'Deal Analyzer'!$B$14))</f>
        <v/>
      </c>
      <c r="H44" s="2" t="n"/>
      <c r="I44" s="2" t="n"/>
      <c r="J44" s="2" t="n"/>
      <c r="K44" s="2" t="n"/>
    </row>
    <row r="45">
      <c r="A45" s="2" t="n">
        <v>34</v>
      </c>
      <c r="B45" s="12">
        <f>MAX(0,'Deal Analyzer'!$B$4*(1+NORM.INV(RAND(),0,$J$4)))</f>
        <v/>
      </c>
      <c r="C45" s="12">
        <f>'Deal Analyzer'!$B$5*MAX(0.9,1+NORM.INV(RAND(),$J$5,$J$6))</f>
        <v/>
      </c>
      <c r="D45" s="12">
        <f>'Deal Analyzer'!$B$24+C45+B45*'Deal Analyzer'!$B$11</f>
        <v/>
      </c>
      <c r="E45" s="15">
        <f>IF(B45=0,0,(B45-D45)/B45)</f>
        <v/>
      </c>
      <c r="F45" s="2">
        <f>E45&gt;='Deal Analyzer'!$B$12</f>
        <v/>
      </c>
      <c r="G45" s="12">
        <f>IF(AND(F45,RAND()&lt;$J$7),'Deal Analyzer'!$B$8-'Deal Analyzer'!$B$10,-('Deal Analyzer'!$B$10+'Deal Analyzer'!$B$9*'Deal Analyzer'!$B$14))</f>
        <v/>
      </c>
      <c r="H45" s="2" t="n"/>
      <c r="I45" s="2" t="n"/>
      <c r="J45" s="2" t="n"/>
      <c r="K45" s="2" t="n"/>
    </row>
    <row r="46">
      <c r="A46" s="2" t="n">
        <v>35</v>
      </c>
      <c r="B46" s="12">
        <f>MAX(0,'Deal Analyzer'!$B$4*(1+NORM.INV(RAND(),0,$J$4)))</f>
        <v/>
      </c>
      <c r="C46" s="12">
        <f>'Deal Analyzer'!$B$5*MAX(0.9,1+NORM.INV(RAND(),$J$5,$J$6))</f>
        <v/>
      </c>
      <c r="D46" s="12">
        <f>'Deal Analyzer'!$B$24+C46+B46*'Deal Analyzer'!$B$11</f>
        <v/>
      </c>
      <c r="E46" s="15">
        <f>IF(B46=0,0,(B46-D46)/B46)</f>
        <v/>
      </c>
      <c r="F46" s="2">
        <f>E46&gt;='Deal Analyzer'!$B$12</f>
        <v/>
      </c>
      <c r="G46" s="12">
        <f>IF(AND(F46,RAND()&lt;$J$7),'Deal Analyzer'!$B$8-'Deal Analyzer'!$B$10,-('Deal Analyzer'!$B$10+'Deal Analyzer'!$B$9*'Deal Analyzer'!$B$14))</f>
        <v/>
      </c>
      <c r="H46" s="2" t="n"/>
      <c r="I46" s="2" t="n"/>
      <c r="J46" s="2" t="n"/>
      <c r="K46" s="2" t="n"/>
    </row>
    <row r="47">
      <c r="A47" s="2" t="n">
        <v>36</v>
      </c>
      <c r="B47" s="12">
        <f>MAX(0,'Deal Analyzer'!$B$4*(1+NORM.INV(RAND(),0,$J$4)))</f>
        <v/>
      </c>
      <c r="C47" s="12">
        <f>'Deal Analyzer'!$B$5*MAX(0.9,1+NORM.INV(RAND(),$J$5,$J$6))</f>
        <v/>
      </c>
      <c r="D47" s="12">
        <f>'Deal Analyzer'!$B$24+C47+B47*'Deal Analyzer'!$B$11</f>
        <v/>
      </c>
      <c r="E47" s="15">
        <f>IF(B47=0,0,(B47-D47)/B47)</f>
        <v/>
      </c>
      <c r="F47" s="2">
        <f>E47&gt;='Deal Analyzer'!$B$12</f>
        <v/>
      </c>
      <c r="G47" s="12">
        <f>IF(AND(F47,RAND()&lt;$J$7),'Deal Analyzer'!$B$8-'Deal Analyzer'!$B$10,-('Deal Analyzer'!$B$10+'Deal Analyzer'!$B$9*'Deal Analyzer'!$B$14))</f>
        <v/>
      </c>
      <c r="H47" s="2" t="n"/>
      <c r="I47" s="2" t="n"/>
      <c r="J47" s="2" t="n"/>
      <c r="K47" s="2" t="n"/>
    </row>
    <row r="48">
      <c r="A48" s="2" t="n">
        <v>37</v>
      </c>
      <c r="B48" s="12">
        <f>MAX(0,'Deal Analyzer'!$B$4*(1+NORM.INV(RAND(),0,$J$4)))</f>
        <v/>
      </c>
      <c r="C48" s="12">
        <f>'Deal Analyzer'!$B$5*MAX(0.9,1+NORM.INV(RAND(),$J$5,$J$6))</f>
        <v/>
      </c>
      <c r="D48" s="12">
        <f>'Deal Analyzer'!$B$24+C48+B48*'Deal Analyzer'!$B$11</f>
        <v/>
      </c>
      <c r="E48" s="15">
        <f>IF(B48=0,0,(B48-D48)/B48)</f>
        <v/>
      </c>
      <c r="F48" s="2">
        <f>E48&gt;='Deal Analyzer'!$B$12</f>
        <v/>
      </c>
      <c r="G48" s="12">
        <f>IF(AND(F48,RAND()&lt;$J$7),'Deal Analyzer'!$B$8-'Deal Analyzer'!$B$10,-('Deal Analyzer'!$B$10+'Deal Analyzer'!$B$9*'Deal Analyzer'!$B$14))</f>
        <v/>
      </c>
      <c r="H48" s="2" t="n"/>
      <c r="I48" s="2" t="n"/>
      <c r="J48" s="2" t="n"/>
      <c r="K48" s="2" t="n"/>
    </row>
    <row r="49">
      <c r="A49" s="2" t="n">
        <v>38</v>
      </c>
      <c r="B49" s="12">
        <f>MAX(0,'Deal Analyzer'!$B$4*(1+NORM.INV(RAND(),0,$J$4)))</f>
        <v/>
      </c>
      <c r="C49" s="12">
        <f>'Deal Analyzer'!$B$5*MAX(0.9,1+NORM.INV(RAND(),$J$5,$J$6))</f>
        <v/>
      </c>
      <c r="D49" s="12">
        <f>'Deal Analyzer'!$B$24+C49+B49*'Deal Analyzer'!$B$11</f>
        <v/>
      </c>
      <c r="E49" s="15">
        <f>IF(B49=0,0,(B49-D49)/B49)</f>
        <v/>
      </c>
      <c r="F49" s="2">
        <f>E49&gt;='Deal Analyzer'!$B$12</f>
        <v/>
      </c>
      <c r="G49" s="12">
        <f>IF(AND(F49,RAND()&lt;$J$7),'Deal Analyzer'!$B$8-'Deal Analyzer'!$B$10,-('Deal Analyzer'!$B$10+'Deal Analyzer'!$B$9*'Deal Analyzer'!$B$14))</f>
        <v/>
      </c>
      <c r="H49" s="2" t="n"/>
      <c r="I49" s="2" t="n"/>
      <c r="J49" s="2" t="n"/>
      <c r="K49" s="2" t="n"/>
    </row>
    <row r="50">
      <c r="A50" s="2" t="n">
        <v>39</v>
      </c>
      <c r="B50" s="12">
        <f>MAX(0,'Deal Analyzer'!$B$4*(1+NORM.INV(RAND(),0,$J$4)))</f>
        <v/>
      </c>
      <c r="C50" s="12">
        <f>'Deal Analyzer'!$B$5*MAX(0.9,1+NORM.INV(RAND(),$J$5,$J$6))</f>
        <v/>
      </c>
      <c r="D50" s="12">
        <f>'Deal Analyzer'!$B$24+C50+B50*'Deal Analyzer'!$B$11</f>
        <v/>
      </c>
      <c r="E50" s="15">
        <f>IF(B50=0,0,(B50-D50)/B50)</f>
        <v/>
      </c>
      <c r="F50" s="2">
        <f>E50&gt;='Deal Analyzer'!$B$12</f>
        <v/>
      </c>
      <c r="G50" s="12">
        <f>IF(AND(F50,RAND()&lt;$J$7),'Deal Analyzer'!$B$8-'Deal Analyzer'!$B$10,-('Deal Analyzer'!$B$10+'Deal Analyzer'!$B$9*'Deal Analyzer'!$B$14))</f>
        <v/>
      </c>
      <c r="H50" s="2" t="n"/>
      <c r="I50" s="2" t="n"/>
      <c r="J50" s="2" t="n"/>
      <c r="K50" s="2" t="n"/>
    </row>
    <row r="51">
      <c r="A51" s="2" t="n">
        <v>40</v>
      </c>
      <c r="B51" s="12">
        <f>MAX(0,'Deal Analyzer'!$B$4*(1+NORM.INV(RAND(),0,$J$4)))</f>
        <v/>
      </c>
      <c r="C51" s="12">
        <f>'Deal Analyzer'!$B$5*MAX(0.9,1+NORM.INV(RAND(),$J$5,$J$6))</f>
        <v/>
      </c>
      <c r="D51" s="12">
        <f>'Deal Analyzer'!$B$24+C51+B51*'Deal Analyzer'!$B$11</f>
        <v/>
      </c>
      <c r="E51" s="15">
        <f>IF(B51=0,0,(B51-D51)/B51)</f>
        <v/>
      </c>
      <c r="F51" s="2">
        <f>E51&gt;='Deal Analyzer'!$B$12</f>
        <v/>
      </c>
      <c r="G51" s="12">
        <f>IF(AND(F51,RAND()&lt;$J$7),'Deal Analyzer'!$B$8-'Deal Analyzer'!$B$10,-('Deal Analyzer'!$B$10+'Deal Analyzer'!$B$9*'Deal Analyzer'!$B$14))</f>
        <v/>
      </c>
      <c r="H51" s="2" t="n"/>
      <c r="I51" s="2" t="n"/>
      <c r="J51" s="2" t="n"/>
      <c r="K51" s="2" t="n"/>
    </row>
    <row r="52">
      <c r="A52" s="2" t="n">
        <v>41</v>
      </c>
      <c r="B52" s="12">
        <f>MAX(0,'Deal Analyzer'!$B$4*(1+NORM.INV(RAND(),0,$J$4)))</f>
        <v/>
      </c>
      <c r="C52" s="12">
        <f>'Deal Analyzer'!$B$5*MAX(0.9,1+NORM.INV(RAND(),$J$5,$J$6))</f>
        <v/>
      </c>
      <c r="D52" s="12">
        <f>'Deal Analyzer'!$B$24+C52+B52*'Deal Analyzer'!$B$11</f>
        <v/>
      </c>
      <c r="E52" s="15">
        <f>IF(B52=0,0,(B52-D52)/B52)</f>
        <v/>
      </c>
      <c r="F52" s="2">
        <f>E52&gt;='Deal Analyzer'!$B$12</f>
        <v/>
      </c>
      <c r="G52" s="12">
        <f>IF(AND(F52,RAND()&lt;$J$7),'Deal Analyzer'!$B$8-'Deal Analyzer'!$B$10,-('Deal Analyzer'!$B$10+'Deal Analyzer'!$B$9*'Deal Analyzer'!$B$14))</f>
        <v/>
      </c>
      <c r="H52" s="2" t="n"/>
      <c r="I52" s="2" t="n"/>
      <c r="J52" s="2" t="n"/>
      <c r="K52" s="2" t="n"/>
    </row>
    <row r="53">
      <c r="A53" s="2" t="n">
        <v>42</v>
      </c>
      <c r="B53" s="12">
        <f>MAX(0,'Deal Analyzer'!$B$4*(1+NORM.INV(RAND(),0,$J$4)))</f>
        <v/>
      </c>
      <c r="C53" s="12">
        <f>'Deal Analyzer'!$B$5*MAX(0.9,1+NORM.INV(RAND(),$J$5,$J$6))</f>
        <v/>
      </c>
      <c r="D53" s="12">
        <f>'Deal Analyzer'!$B$24+C53+B53*'Deal Analyzer'!$B$11</f>
        <v/>
      </c>
      <c r="E53" s="15">
        <f>IF(B53=0,0,(B53-D53)/B53)</f>
        <v/>
      </c>
      <c r="F53" s="2">
        <f>E53&gt;='Deal Analyzer'!$B$12</f>
        <v/>
      </c>
      <c r="G53" s="12">
        <f>IF(AND(F53,RAND()&lt;$J$7),'Deal Analyzer'!$B$8-'Deal Analyzer'!$B$10,-('Deal Analyzer'!$B$10+'Deal Analyzer'!$B$9*'Deal Analyzer'!$B$14))</f>
        <v/>
      </c>
      <c r="H53" s="2" t="n"/>
      <c r="I53" s="2" t="n"/>
      <c r="J53" s="2" t="n"/>
      <c r="K53" s="2" t="n"/>
    </row>
    <row r="54">
      <c r="A54" s="2" t="n">
        <v>43</v>
      </c>
      <c r="B54" s="12">
        <f>MAX(0,'Deal Analyzer'!$B$4*(1+NORM.INV(RAND(),0,$J$4)))</f>
        <v/>
      </c>
      <c r="C54" s="12">
        <f>'Deal Analyzer'!$B$5*MAX(0.9,1+NORM.INV(RAND(),$J$5,$J$6))</f>
        <v/>
      </c>
      <c r="D54" s="12">
        <f>'Deal Analyzer'!$B$24+C54+B54*'Deal Analyzer'!$B$11</f>
        <v/>
      </c>
      <c r="E54" s="15">
        <f>IF(B54=0,0,(B54-D54)/B54)</f>
        <v/>
      </c>
      <c r="F54" s="2">
        <f>E54&gt;='Deal Analyzer'!$B$12</f>
        <v/>
      </c>
      <c r="G54" s="12">
        <f>IF(AND(F54,RAND()&lt;$J$7),'Deal Analyzer'!$B$8-'Deal Analyzer'!$B$10,-('Deal Analyzer'!$B$10+'Deal Analyzer'!$B$9*'Deal Analyzer'!$B$14))</f>
        <v/>
      </c>
      <c r="H54" s="2" t="n"/>
      <c r="I54" s="2" t="n"/>
      <c r="J54" s="2" t="n"/>
      <c r="K54" s="2" t="n"/>
    </row>
    <row r="55">
      <c r="A55" s="2" t="n">
        <v>44</v>
      </c>
      <c r="B55" s="12">
        <f>MAX(0,'Deal Analyzer'!$B$4*(1+NORM.INV(RAND(),0,$J$4)))</f>
        <v/>
      </c>
      <c r="C55" s="12">
        <f>'Deal Analyzer'!$B$5*MAX(0.9,1+NORM.INV(RAND(),$J$5,$J$6))</f>
        <v/>
      </c>
      <c r="D55" s="12">
        <f>'Deal Analyzer'!$B$24+C55+B55*'Deal Analyzer'!$B$11</f>
        <v/>
      </c>
      <c r="E55" s="15">
        <f>IF(B55=0,0,(B55-D55)/B55)</f>
        <v/>
      </c>
      <c r="F55" s="2">
        <f>E55&gt;='Deal Analyzer'!$B$12</f>
        <v/>
      </c>
      <c r="G55" s="12">
        <f>IF(AND(F55,RAND()&lt;$J$7),'Deal Analyzer'!$B$8-'Deal Analyzer'!$B$10,-('Deal Analyzer'!$B$10+'Deal Analyzer'!$B$9*'Deal Analyzer'!$B$14))</f>
        <v/>
      </c>
      <c r="H55" s="2" t="n"/>
      <c r="I55" s="2" t="n"/>
      <c r="J55" s="2" t="n"/>
      <c r="K55" s="2" t="n"/>
    </row>
    <row r="56">
      <c r="A56" s="2" t="n">
        <v>45</v>
      </c>
      <c r="B56" s="12">
        <f>MAX(0,'Deal Analyzer'!$B$4*(1+NORM.INV(RAND(),0,$J$4)))</f>
        <v/>
      </c>
      <c r="C56" s="12">
        <f>'Deal Analyzer'!$B$5*MAX(0.9,1+NORM.INV(RAND(),$J$5,$J$6))</f>
        <v/>
      </c>
      <c r="D56" s="12">
        <f>'Deal Analyzer'!$B$24+C56+B56*'Deal Analyzer'!$B$11</f>
        <v/>
      </c>
      <c r="E56" s="15">
        <f>IF(B56=0,0,(B56-D56)/B56)</f>
        <v/>
      </c>
      <c r="F56" s="2">
        <f>E56&gt;='Deal Analyzer'!$B$12</f>
        <v/>
      </c>
      <c r="G56" s="12">
        <f>IF(AND(F56,RAND()&lt;$J$7),'Deal Analyzer'!$B$8-'Deal Analyzer'!$B$10,-('Deal Analyzer'!$B$10+'Deal Analyzer'!$B$9*'Deal Analyzer'!$B$14))</f>
        <v/>
      </c>
      <c r="H56" s="2" t="n"/>
      <c r="I56" s="2" t="n"/>
      <c r="J56" s="2" t="n"/>
      <c r="K56" s="2" t="n"/>
    </row>
    <row r="57">
      <c r="A57" s="2" t="n">
        <v>46</v>
      </c>
      <c r="B57" s="12">
        <f>MAX(0,'Deal Analyzer'!$B$4*(1+NORM.INV(RAND(),0,$J$4)))</f>
        <v/>
      </c>
      <c r="C57" s="12">
        <f>'Deal Analyzer'!$B$5*MAX(0.9,1+NORM.INV(RAND(),$J$5,$J$6))</f>
        <v/>
      </c>
      <c r="D57" s="12">
        <f>'Deal Analyzer'!$B$24+C57+B57*'Deal Analyzer'!$B$11</f>
        <v/>
      </c>
      <c r="E57" s="15">
        <f>IF(B57=0,0,(B57-D57)/B57)</f>
        <v/>
      </c>
      <c r="F57" s="2">
        <f>E57&gt;='Deal Analyzer'!$B$12</f>
        <v/>
      </c>
      <c r="G57" s="12">
        <f>IF(AND(F57,RAND()&lt;$J$7),'Deal Analyzer'!$B$8-'Deal Analyzer'!$B$10,-('Deal Analyzer'!$B$10+'Deal Analyzer'!$B$9*'Deal Analyzer'!$B$14))</f>
        <v/>
      </c>
      <c r="H57" s="2" t="n"/>
      <c r="I57" s="2" t="n"/>
      <c r="J57" s="2" t="n"/>
      <c r="K57" s="2" t="n"/>
    </row>
    <row r="58">
      <c r="A58" s="2" t="n">
        <v>47</v>
      </c>
      <c r="B58" s="12">
        <f>MAX(0,'Deal Analyzer'!$B$4*(1+NORM.INV(RAND(),0,$J$4)))</f>
        <v/>
      </c>
      <c r="C58" s="12">
        <f>'Deal Analyzer'!$B$5*MAX(0.9,1+NORM.INV(RAND(),$J$5,$J$6))</f>
        <v/>
      </c>
      <c r="D58" s="12">
        <f>'Deal Analyzer'!$B$24+C58+B58*'Deal Analyzer'!$B$11</f>
        <v/>
      </c>
      <c r="E58" s="15">
        <f>IF(B58=0,0,(B58-D58)/B58)</f>
        <v/>
      </c>
      <c r="F58" s="2">
        <f>E58&gt;='Deal Analyzer'!$B$12</f>
        <v/>
      </c>
      <c r="G58" s="12">
        <f>IF(AND(F58,RAND()&lt;$J$7),'Deal Analyzer'!$B$8-'Deal Analyzer'!$B$10,-('Deal Analyzer'!$B$10+'Deal Analyzer'!$B$9*'Deal Analyzer'!$B$14))</f>
        <v/>
      </c>
      <c r="H58" s="2" t="n"/>
      <c r="I58" s="2" t="n"/>
      <c r="J58" s="2" t="n"/>
      <c r="K58" s="2" t="n"/>
    </row>
    <row r="59">
      <c r="A59" s="2" t="n">
        <v>48</v>
      </c>
      <c r="B59" s="12">
        <f>MAX(0,'Deal Analyzer'!$B$4*(1+NORM.INV(RAND(),0,$J$4)))</f>
        <v/>
      </c>
      <c r="C59" s="12">
        <f>'Deal Analyzer'!$B$5*MAX(0.9,1+NORM.INV(RAND(),$J$5,$J$6))</f>
        <v/>
      </c>
      <c r="D59" s="12">
        <f>'Deal Analyzer'!$B$24+C59+B59*'Deal Analyzer'!$B$11</f>
        <v/>
      </c>
      <c r="E59" s="15">
        <f>IF(B59=0,0,(B59-D59)/B59)</f>
        <v/>
      </c>
      <c r="F59" s="2">
        <f>E59&gt;='Deal Analyzer'!$B$12</f>
        <v/>
      </c>
      <c r="G59" s="12">
        <f>IF(AND(F59,RAND()&lt;$J$7),'Deal Analyzer'!$B$8-'Deal Analyzer'!$B$10,-('Deal Analyzer'!$B$10+'Deal Analyzer'!$B$9*'Deal Analyzer'!$B$14))</f>
        <v/>
      </c>
      <c r="H59" s="2" t="n"/>
      <c r="I59" s="2" t="n"/>
      <c r="J59" s="2" t="n"/>
      <c r="K59" s="2" t="n"/>
    </row>
    <row r="60">
      <c r="A60" s="2" t="n">
        <v>49</v>
      </c>
      <c r="B60" s="12">
        <f>MAX(0,'Deal Analyzer'!$B$4*(1+NORM.INV(RAND(),0,$J$4)))</f>
        <v/>
      </c>
      <c r="C60" s="12">
        <f>'Deal Analyzer'!$B$5*MAX(0.9,1+NORM.INV(RAND(),$J$5,$J$6))</f>
        <v/>
      </c>
      <c r="D60" s="12">
        <f>'Deal Analyzer'!$B$24+C60+B60*'Deal Analyzer'!$B$11</f>
        <v/>
      </c>
      <c r="E60" s="15">
        <f>IF(B60=0,0,(B60-D60)/B60)</f>
        <v/>
      </c>
      <c r="F60" s="2">
        <f>E60&gt;='Deal Analyzer'!$B$12</f>
        <v/>
      </c>
      <c r="G60" s="12">
        <f>IF(AND(F60,RAND()&lt;$J$7),'Deal Analyzer'!$B$8-'Deal Analyzer'!$B$10,-('Deal Analyzer'!$B$10+'Deal Analyzer'!$B$9*'Deal Analyzer'!$B$14))</f>
        <v/>
      </c>
      <c r="H60" s="2" t="n"/>
      <c r="I60" s="2" t="n"/>
      <c r="J60" s="2" t="n"/>
      <c r="K60" s="2" t="n"/>
    </row>
    <row r="61">
      <c r="A61" s="2" t="n">
        <v>50</v>
      </c>
      <c r="B61" s="12">
        <f>MAX(0,'Deal Analyzer'!$B$4*(1+NORM.INV(RAND(),0,$J$4)))</f>
        <v/>
      </c>
      <c r="C61" s="12">
        <f>'Deal Analyzer'!$B$5*MAX(0.9,1+NORM.INV(RAND(),$J$5,$J$6))</f>
        <v/>
      </c>
      <c r="D61" s="12">
        <f>'Deal Analyzer'!$B$24+C61+B61*'Deal Analyzer'!$B$11</f>
        <v/>
      </c>
      <c r="E61" s="15">
        <f>IF(B61=0,0,(B61-D61)/B61)</f>
        <v/>
      </c>
      <c r="F61" s="2">
        <f>E61&gt;='Deal Analyzer'!$B$12</f>
        <v/>
      </c>
      <c r="G61" s="12">
        <f>IF(AND(F61,RAND()&lt;$J$7),'Deal Analyzer'!$B$8-'Deal Analyzer'!$B$10,-('Deal Analyzer'!$B$10+'Deal Analyzer'!$B$9*'Deal Analyzer'!$B$14))</f>
        <v/>
      </c>
      <c r="H61" s="2" t="n"/>
      <c r="I61" s="2" t="n"/>
      <c r="J61" s="2" t="n"/>
      <c r="K61" s="2" t="n"/>
    </row>
    <row r="62">
      <c r="A62" s="2" t="n">
        <v>51</v>
      </c>
      <c r="B62" s="12">
        <f>MAX(0,'Deal Analyzer'!$B$4*(1+NORM.INV(RAND(),0,$J$4)))</f>
        <v/>
      </c>
      <c r="C62" s="12">
        <f>'Deal Analyzer'!$B$5*MAX(0.9,1+NORM.INV(RAND(),$J$5,$J$6))</f>
        <v/>
      </c>
      <c r="D62" s="12">
        <f>'Deal Analyzer'!$B$24+C62+B62*'Deal Analyzer'!$B$11</f>
        <v/>
      </c>
      <c r="E62" s="15">
        <f>IF(B62=0,0,(B62-D62)/B62)</f>
        <v/>
      </c>
      <c r="F62" s="2">
        <f>E62&gt;='Deal Analyzer'!$B$12</f>
        <v/>
      </c>
      <c r="G62" s="12">
        <f>IF(AND(F62,RAND()&lt;$J$7),'Deal Analyzer'!$B$8-'Deal Analyzer'!$B$10,-('Deal Analyzer'!$B$10+'Deal Analyzer'!$B$9*'Deal Analyzer'!$B$14))</f>
        <v/>
      </c>
      <c r="H62" s="2" t="n"/>
      <c r="I62" s="2" t="n"/>
      <c r="J62" s="2" t="n"/>
      <c r="K62" s="2" t="n"/>
    </row>
    <row r="63">
      <c r="A63" s="2" t="n">
        <v>52</v>
      </c>
      <c r="B63" s="12">
        <f>MAX(0,'Deal Analyzer'!$B$4*(1+NORM.INV(RAND(),0,$J$4)))</f>
        <v/>
      </c>
      <c r="C63" s="12">
        <f>'Deal Analyzer'!$B$5*MAX(0.9,1+NORM.INV(RAND(),$J$5,$J$6))</f>
        <v/>
      </c>
      <c r="D63" s="12">
        <f>'Deal Analyzer'!$B$24+C63+B63*'Deal Analyzer'!$B$11</f>
        <v/>
      </c>
      <c r="E63" s="15">
        <f>IF(B63=0,0,(B63-D63)/B63)</f>
        <v/>
      </c>
      <c r="F63" s="2">
        <f>E63&gt;='Deal Analyzer'!$B$12</f>
        <v/>
      </c>
      <c r="G63" s="12">
        <f>IF(AND(F63,RAND()&lt;$J$7),'Deal Analyzer'!$B$8-'Deal Analyzer'!$B$10,-('Deal Analyzer'!$B$10+'Deal Analyzer'!$B$9*'Deal Analyzer'!$B$14))</f>
        <v/>
      </c>
      <c r="H63" s="2" t="n"/>
      <c r="I63" s="2" t="n"/>
      <c r="J63" s="2" t="n"/>
      <c r="K63" s="2" t="n"/>
    </row>
    <row r="64">
      <c r="A64" s="2" t="n">
        <v>53</v>
      </c>
      <c r="B64" s="12">
        <f>MAX(0,'Deal Analyzer'!$B$4*(1+NORM.INV(RAND(),0,$J$4)))</f>
        <v/>
      </c>
      <c r="C64" s="12">
        <f>'Deal Analyzer'!$B$5*MAX(0.9,1+NORM.INV(RAND(),$J$5,$J$6))</f>
        <v/>
      </c>
      <c r="D64" s="12">
        <f>'Deal Analyzer'!$B$24+C64+B64*'Deal Analyzer'!$B$11</f>
        <v/>
      </c>
      <c r="E64" s="15">
        <f>IF(B64=0,0,(B64-D64)/B64)</f>
        <v/>
      </c>
      <c r="F64" s="2">
        <f>E64&gt;='Deal Analyzer'!$B$12</f>
        <v/>
      </c>
      <c r="G64" s="12">
        <f>IF(AND(F64,RAND()&lt;$J$7),'Deal Analyzer'!$B$8-'Deal Analyzer'!$B$10,-('Deal Analyzer'!$B$10+'Deal Analyzer'!$B$9*'Deal Analyzer'!$B$14))</f>
        <v/>
      </c>
      <c r="H64" s="2" t="n"/>
      <c r="I64" s="2" t="n"/>
      <c r="J64" s="2" t="n"/>
      <c r="K64" s="2" t="n"/>
    </row>
    <row r="65">
      <c r="A65" s="2" t="n">
        <v>54</v>
      </c>
      <c r="B65" s="12">
        <f>MAX(0,'Deal Analyzer'!$B$4*(1+NORM.INV(RAND(),0,$J$4)))</f>
        <v/>
      </c>
      <c r="C65" s="12">
        <f>'Deal Analyzer'!$B$5*MAX(0.9,1+NORM.INV(RAND(),$J$5,$J$6))</f>
        <v/>
      </c>
      <c r="D65" s="12">
        <f>'Deal Analyzer'!$B$24+C65+B65*'Deal Analyzer'!$B$11</f>
        <v/>
      </c>
      <c r="E65" s="15">
        <f>IF(B65=0,0,(B65-D65)/B65)</f>
        <v/>
      </c>
      <c r="F65" s="2">
        <f>E65&gt;='Deal Analyzer'!$B$12</f>
        <v/>
      </c>
      <c r="G65" s="12">
        <f>IF(AND(F65,RAND()&lt;$J$7),'Deal Analyzer'!$B$8-'Deal Analyzer'!$B$10,-('Deal Analyzer'!$B$10+'Deal Analyzer'!$B$9*'Deal Analyzer'!$B$14))</f>
        <v/>
      </c>
      <c r="H65" s="2" t="n"/>
      <c r="I65" s="2" t="n"/>
      <c r="J65" s="2" t="n"/>
      <c r="K65" s="2" t="n"/>
    </row>
    <row r="66">
      <c r="A66" s="2" t="n">
        <v>55</v>
      </c>
      <c r="B66" s="12">
        <f>MAX(0,'Deal Analyzer'!$B$4*(1+NORM.INV(RAND(),0,$J$4)))</f>
        <v/>
      </c>
      <c r="C66" s="12">
        <f>'Deal Analyzer'!$B$5*MAX(0.9,1+NORM.INV(RAND(),$J$5,$J$6))</f>
        <v/>
      </c>
      <c r="D66" s="12">
        <f>'Deal Analyzer'!$B$24+C66+B66*'Deal Analyzer'!$B$11</f>
        <v/>
      </c>
      <c r="E66" s="15">
        <f>IF(B66=0,0,(B66-D66)/B66)</f>
        <v/>
      </c>
      <c r="F66" s="2">
        <f>E66&gt;='Deal Analyzer'!$B$12</f>
        <v/>
      </c>
      <c r="G66" s="12">
        <f>IF(AND(F66,RAND()&lt;$J$7),'Deal Analyzer'!$B$8-'Deal Analyzer'!$B$10,-('Deal Analyzer'!$B$10+'Deal Analyzer'!$B$9*'Deal Analyzer'!$B$14))</f>
        <v/>
      </c>
      <c r="H66" s="2" t="n"/>
      <c r="I66" s="2" t="n"/>
      <c r="J66" s="2" t="n"/>
      <c r="K66" s="2" t="n"/>
    </row>
    <row r="67">
      <c r="A67" s="2" t="n">
        <v>56</v>
      </c>
      <c r="B67" s="12">
        <f>MAX(0,'Deal Analyzer'!$B$4*(1+NORM.INV(RAND(),0,$J$4)))</f>
        <v/>
      </c>
      <c r="C67" s="12">
        <f>'Deal Analyzer'!$B$5*MAX(0.9,1+NORM.INV(RAND(),$J$5,$J$6))</f>
        <v/>
      </c>
      <c r="D67" s="12">
        <f>'Deal Analyzer'!$B$24+C67+B67*'Deal Analyzer'!$B$11</f>
        <v/>
      </c>
      <c r="E67" s="15">
        <f>IF(B67=0,0,(B67-D67)/B67)</f>
        <v/>
      </c>
      <c r="F67" s="2">
        <f>E67&gt;='Deal Analyzer'!$B$12</f>
        <v/>
      </c>
      <c r="G67" s="12">
        <f>IF(AND(F67,RAND()&lt;$J$7),'Deal Analyzer'!$B$8-'Deal Analyzer'!$B$10,-('Deal Analyzer'!$B$10+'Deal Analyzer'!$B$9*'Deal Analyzer'!$B$14))</f>
        <v/>
      </c>
      <c r="H67" s="2" t="n"/>
      <c r="I67" s="2" t="n"/>
      <c r="J67" s="2" t="n"/>
      <c r="K67" s="2" t="n"/>
    </row>
    <row r="68">
      <c r="A68" s="2" t="n">
        <v>57</v>
      </c>
      <c r="B68" s="12">
        <f>MAX(0,'Deal Analyzer'!$B$4*(1+NORM.INV(RAND(),0,$J$4)))</f>
        <v/>
      </c>
      <c r="C68" s="12">
        <f>'Deal Analyzer'!$B$5*MAX(0.9,1+NORM.INV(RAND(),$J$5,$J$6))</f>
        <v/>
      </c>
      <c r="D68" s="12">
        <f>'Deal Analyzer'!$B$24+C68+B68*'Deal Analyzer'!$B$11</f>
        <v/>
      </c>
      <c r="E68" s="15">
        <f>IF(B68=0,0,(B68-D68)/B68)</f>
        <v/>
      </c>
      <c r="F68" s="2">
        <f>E68&gt;='Deal Analyzer'!$B$12</f>
        <v/>
      </c>
      <c r="G68" s="12">
        <f>IF(AND(F68,RAND()&lt;$J$7),'Deal Analyzer'!$B$8-'Deal Analyzer'!$B$10,-('Deal Analyzer'!$B$10+'Deal Analyzer'!$B$9*'Deal Analyzer'!$B$14))</f>
        <v/>
      </c>
      <c r="H68" s="2" t="n"/>
      <c r="I68" s="2" t="n"/>
      <c r="J68" s="2" t="n"/>
      <c r="K68" s="2" t="n"/>
    </row>
    <row r="69">
      <c r="A69" s="2" t="n">
        <v>58</v>
      </c>
      <c r="B69" s="12">
        <f>MAX(0,'Deal Analyzer'!$B$4*(1+NORM.INV(RAND(),0,$J$4)))</f>
        <v/>
      </c>
      <c r="C69" s="12">
        <f>'Deal Analyzer'!$B$5*MAX(0.9,1+NORM.INV(RAND(),$J$5,$J$6))</f>
        <v/>
      </c>
      <c r="D69" s="12">
        <f>'Deal Analyzer'!$B$24+C69+B69*'Deal Analyzer'!$B$11</f>
        <v/>
      </c>
      <c r="E69" s="15">
        <f>IF(B69=0,0,(B69-D69)/B69)</f>
        <v/>
      </c>
      <c r="F69" s="2">
        <f>E69&gt;='Deal Analyzer'!$B$12</f>
        <v/>
      </c>
      <c r="G69" s="12">
        <f>IF(AND(F69,RAND()&lt;$J$7),'Deal Analyzer'!$B$8-'Deal Analyzer'!$B$10,-('Deal Analyzer'!$B$10+'Deal Analyzer'!$B$9*'Deal Analyzer'!$B$14))</f>
        <v/>
      </c>
      <c r="H69" s="2" t="n"/>
      <c r="I69" s="2" t="n"/>
      <c r="J69" s="2" t="n"/>
      <c r="K69" s="2" t="n"/>
    </row>
    <row r="70">
      <c r="A70" s="2" t="n">
        <v>59</v>
      </c>
      <c r="B70" s="12">
        <f>MAX(0,'Deal Analyzer'!$B$4*(1+NORM.INV(RAND(),0,$J$4)))</f>
        <v/>
      </c>
      <c r="C70" s="12">
        <f>'Deal Analyzer'!$B$5*MAX(0.9,1+NORM.INV(RAND(),$J$5,$J$6))</f>
        <v/>
      </c>
      <c r="D70" s="12">
        <f>'Deal Analyzer'!$B$24+C70+B70*'Deal Analyzer'!$B$11</f>
        <v/>
      </c>
      <c r="E70" s="15">
        <f>IF(B70=0,0,(B70-D70)/B70)</f>
        <v/>
      </c>
      <c r="F70" s="2">
        <f>E70&gt;='Deal Analyzer'!$B$12</f>
        <v/>
      </c>
      <c r="G70" s="12">
        <f>IF(AND(F70,RAND()&lt;$J$7),'Deal Analyzer'!$B$8-'Deal Analyzer'!$B$10,-('Deal Analyzer'!$B$10+'Deal Analyzer'!$B$9*'Deal Analyzer'!$B$14))</f>
        <v/>
      </c>
      <c r="H70" s="2" t="n"/>
      <c r="I70" s="2" t="n"/>
      <c r="J70" s="2" t="n"/>
      <c r="K70" s="2" t="n"/>
    </row>
    <row r="71">
      <c r="A71" s="2" t="n">
        <v>60</v>
      </c>
      <c r="B71" s="12">
        <f>MAX(0,'Deal Analyzer'!$B$4*(1+NORM.INV(RAND(),0,$J$4)))</f>
        <v/>
      </c>
      <c r="C71" s="12">
        <f>'Deal Analyzer'!$B$5*MAX(0.9,1+NORM.INV(RAND(),$J$5,$J$6))</f>
        <v/>
      </c>
      <c r="D71" s="12">
        <f>'Deal Analyzer'!$B$24+C71+B71*'Deal Analyzer'!$B$11</f>
        <v/>
      </c>
      <c r="E71" s="15">
        <f>IF(B71=0,0,(B71-D71)/B71)</f>
        <v/>
      </c>
      <c r="F71" s="2">
        <f>E71&gt;='Deal Analyzer'!$B$12</f>
        <v/>
      </c>
      <c r="G71" s="12">
        <f>IF(AND(F71,RAND()&lt;$J$7),'Deal Analyzer'!$B$8-'Deal Analyzer'!$B$10,-('Deal Analyzer'!$B$10+'Deal Analyzer'!$B$9*'Deal Analyzer'!$B$14))</f>
        <v/>
      </c>
      <c r="H71" s="2" t="n"/>
      <c r="I71" s="2" t="n"/>
      <c r="J71" s="2" t="n"/>
      <c r="K71" s="2" t="n"/>
    </row>
    <row r="72">
      <c r="A72" s="2" t="n">
        <v>61</v>
      </c>
      <c r="B72" s="12">
        <f>MAX(0,'Deal Analyzer'!$B$4*(1+NORM.INV(RAND(),0,$J$4)))</f>
        <v/>
      </c>
      <c r="C72" s="12">
        <f>'Deal Analyzer'!$B$5*MAX(0.9,1+NORM.INV(RAND(),$J$5,$J$6))</f>
        <v/>
      </c>
      <c r="D72" s="12">
        <f>'Deal Analyzer'!$B$24+C72+B72*'Deal Analyzer'!$B$11</f>
        <v/>
      </c>
      <c r="E72" s="15">
        <f>IF(B72=0,0,(B72-D72)/B72)</f>
        <v/>
      </c>
      <c r="F72" s="2">
        <f>E72&gt;='Deal Analyzer'!$B$12</f>
        <v/>
      </c>
      <c r="G72" s="12">
        <f>IF(AND(F72,RAND()&lt;$J$7),'Deal Analyzer'!$B$8-'Deal Analyzer'!$B$10,-('Deal Analyzer'!$B$10+'Deal Analyzer'!$B$9*'Deal Analyzer'!$B$14))</f>
        <v/>
      </c>
      <c r="H72" s="2" t="n"/>
      <c r="I72" s="2" t="n"/>
      <c r="J72" s="2" t="n"/>
      <c r="K72" s="2" t="n"/>
    </row>
    <row r="73">
      <c r="A73" s="2" t="n">
        <v>62</v>
      </c>
      <c r="B73" s="12">
        <f>MAX(0,'Deal Analyzer'!$B$4*(1+NORM.INV(RAND(),0,$J$4)))</f>
        <v/>
      </c>
      <c r="C73" s="12">
        <f>'Deal Analyzer'!$B$5*MAX(0.9,1+NORM.INV(RAND(),$J$5,$J$6))</f>
        <v/>
      </c>
      <c r="D73" s="12">
        <f>'Deal Analyzer'!$B$24+C73+B73*'Deal Analyzer'!$B$11</f>
        <v/>
      </c>
      <c r="E73" s="15">
        <f>IF(B73=0,0,(B73-D73)/B73)</f>
        <v/>
      </c>
      <c r="F73" s="2">
        <f>E73&gt;='Deal Analyzer'!$B$12</f>
        <v/>
      </c>
      <c r="G73" s="12">
        <f>IF(AND(F73,RAND()&lt;$J$7),'Deal Analyzer'!$B$8-'Deal Analyzer'!$B$10,-('Deal Analyzer'!$B$10+'Deal Analyzer'!$B$9*'Deal Analyzer'!$B$14))</f>
        <v/>
      </c>
      <c r="H73" s="2" t="n"/>
      <c r="I73" s="2" t="n"/>
      <c r="J73" s="2" t="n"/>
      <c r="K73" s="2" t="n"/>
    </row>
    <row r="74">
      <c r="A74" s="2" t="n">
        <v>63</v>
      </c>
      <c r="B74" s="12">
        <f>MAX(0,'Deal Analyzer'!$B$4*(1+NORM.INV(RAND(),0,$J$4)))</f>
        <v/>
      </c>
      <c r="C74" s="12">
        <f>'Deal Analyzer'!$B$5*MAX(0.9,1+NORM.INV(RAND(),$J$5,$J$6))</f>
        <v/>
      </c>
      <c r="D74" s="12">
        <f>'Deal Analyzer'!$B$24+C74+B74*'Deal Analyzer'!$B$11</f>
        <v/>
      </c>
      <c r="E74" s="15">
        <f>IF(B74=0,0,(B74-D74)/B74)</f>
        <v/>
      </c>
      <c r="F74" s="2">
        <f>E74&gt;='Deal Analyzer'!$B$12</f>
        <v/>
      </c>
      <c r="G74" s="12">
        <f>IF(AND(F74,RAND()&lt;$J$7),'Deal Analyzer'!$B$8-'Deal Analyzer'!$B$10,-('Deal Analyzer'!$B$10+'Deal Analyzer'!$B$9*'Deal Analyzer'!$B$14))</f>
        <v/>
      </c>
      <c r="H74" s="2" t="n"/>
      <c r="I74" s="2" t="n"/>
      <c r="J74" s="2" t="n"/>
      <c r="K74" s="2" t="n"/>
    </row>
    <row r="75">
      <c r="A75" s="2" t="n">
        <v>64</v>
      </c>
      <c r="B75" s="12">
        <f>MAX(0,'Deal Analyzer'!$B$4*(1+NORM.INV(RAND(),0,$J$4)))</f>
        <v/>
      </c>
      <c r="C75" s="12">
        <f>'Deal Analyzer'!$B$5*MAX(0.9,1+NORM.INV(RAND(),$J$5,$J$6))</f>
        <v/>
      </c>
      <c r="D75" s="12">
        <f>'Deal Analyzer'!$B$24+C75+B75*'Deal Analyzer'!$B$11</f>
        <v/>
      </c>
      <c r="E75" s="15">
        <f>IF(B75=0,0,(B75-D75)/B75)</f>
        <v/>
      </c>
      <c r="F75" s="2">
        <f>E75&gt;='Deal Analyzer'!$B$12</f>
        <v/>
      </c>
      <c r="G75" s="12">
        <f>IF(AND(F75,RAND()&lt;$J$7),'Deal Analyzer'!$B$8-'Deal Analyzer'!$B$10,-('Deal Analyzer'!$B$10+'Deal Analyzer'!$B$9*'Deal Analyzer'!$B$14))</f>
        <v/>
      </c>
      <c r="H75" s="2" t="n"/>
      <c r="I75" s="2" t="n"/>
      <c r="J75" s="2" t="n"/>
      <c r="K75" s="2" t="n"/>
    </row>
    <row r="76">
      <c r="A76" s="2" t="n">
        <v>65</v>
      </c>
      <c r="B76" s="12">
        <f>MAX(0,'Deal Analyzer'!$B$4*(1+NORM.INV(RAND(),0,$J$4)))</f>
        <v/>
      </c>
      <c r="C76" s="12">
        <f>'Deal Analyzer'!$B$5*MAX(0.9,1+NORM.INV(RAND(),$J$5,$J$6))</f>
        <v/>
      </c>
      <c r="D76" s="12">
        <f>'Deal Analyzer'!$B$24+C76+B76*'Deal Analyzer'!$B$11</f>
        <v/>
      </c>
      <c r="E76" s="15">
        <f>IF(B76=0,0,(B76-D76)/B76)</f>
        <v/>
      </c>
      <c r="F76" s="2">
        <f>E76&gt;='Deal Analyzer'!$B$12</f>
        <v/>
      </c>
      <c r="G76" s="12">
        <f>IF(AND(F76,RAND()&lt;$J$7),'Deal Analyzer'!$B$8-'Deal Analyzer'!$B$10,-('Deal Analyzer'!$B$10+'Deal Analyzer'!$B$9*'Deal Analyzer'!$B$14))</f>
        <v/>
      </c>
      <c r="H76" s="2" t="n"/>
      <c r="I76" s="2" t="n"/>
      <c r="J76" s="2" t="n"/>
      <c r="K76" s="2" t="n"/>
    </row>
    <row r="77">
      <c r="A77" s="2" t="n">
        <v>66</v>
      </c>
      <c r="B77" s="12">
        <f>MAX(0,'Deal Analyzer'!$B$4*(1+NORM.INV(RAND(),0,$J$4)))</f>
        <v/>
      </c>
      <c r="C77" s="12">
        <f>'Deal Analyzer'!$B$5*MAX(0.9,1+NORM.INV(RAND(),$J$5,$J$6))</f>
        <v/>
      </c>
      <c r="D77" s="12">
        <f>'Deal Analyzer'!$B$24+C77+B77*'Deal Analyzer'!$B$11</f>
        <v/>
      </c>
      <c r="E77" s="15">
        <f>IF(B77=0,0,(B77-D77)/B77)</f>
        <v/>
      </c>
      <c r="F77" s="2">
        <f>E77&gt;='Deal Analyzer'!$B$12</f>
        <v/>
      </c>
      <c r="G77" s="12">
        <f>IF(AND(F77,RAND()&lt;$J$7),'Deal Analyzer'!$B$8-'Deal Analyzer'!$B$10,-('Deal Analyzer'!$B$10+'Deal Analyzer'!$B$9*'Deal Analyzer'!$B$14))</f>
        <v/>
      </c>
      <c r="H77" s="2" t="n"/>
      <c r="I77" s="2" t="n"/>
      <c r="J77" s="2" t="n"/>
      <c r="K77" s="2" t="n"/>
    </row>
    <row r="78">
      <c r="A78" s="2" t="n">
        <v>67</v>
      </c>
      <c r="B78" s="12">
        <f>MAX(0,'Deal Analyzer'!$B$4*(1+NORM.INV(RAND(),0,$J$4)))</f>
        <v/>
      </c>
      <c r="C78" s="12">
        <f>'Deal Analyzer'!$B$5*MAX(0.9,1+NORM.INV(RAND(),$J$5,$J$6))</f>
        <v/>
      </c>
      <c r="D78" s="12">
        <f>'Deal Analyzer'!$B$24+C78+B78*'Deal Analyzer'!$B$11</f>
        <v/>
      </c>
      <c r="E78" s="15">
        <f>IF(B78=0,0,(B78-D78)/B78)</f>
        <v/>
      </c>
      <c r="F78" s="2">
        <f>E78&gt;='Deal Analyzer'!$B$12</f>
        <v/>
      </c>
      <c r="G78" s="12">
        <f>IF(AND(F78,RAND()&lt;$J$7),'Deal Analyzer'!$B$8-'Deal Analyzer'!$B$10,-('Deal Analyzer'!$B$10+'Deal Analyzer'!$B$9*'Deal Analyzer'!$B$14))</f>
        <v/>
      </c>
      <c r="H78" s="2" t="n"/>
      <c r="I78" s="2" t="n"/>
      <c r="J78" s="2" t="n"/>
      <c r="K78" s="2" t="n"/>
    </row>
    <row r="79">
      <c r="A79" s="2" t="n">
        <v>68</v>
      </c>
      <c r="B79" s="12">
        <f>MAX(0,'Deal Analyzer'!$B$4*(1+NORM.INV(RAND(),0,$J$4)))</f>
        <v/>
      </c>
      <c r="C79" s="12">
        <f>'Deal Analyzer'!$B$5*MAX(0.9,1+NORM.INV(RAND(),$J$5,$J$6))</f>
        <v/>
      </c>
      <c r="D79" s="12">
        <f>'Deal Analyzer'!$B$24+C79+B79*'Deal Analyzer'!$B$11</f>
        <v/>
      </c>
      <c r="E79" s="15">
        <f>IF(B79=0,0,(B79-D79)/B79)</f>
        <v/>
      </c>
      <c r="F79" s="2">
        <f>E79&gt;='Deal Analyzer'!$B$12</f>
        <v/>
      </c>
      <c r="G79" s="12">
        <f>IF(AND(F79,RAND()&lt;$J$7),'Deal Analyzer'!$B$8-'Deal Analyzer'!$B$10,-('Deal Analyzer'!$B$10+'Deal Analyzer'!$B$9*'Deal Analyzer'!$B$14))</f>
        <v/>
      </c>
      <c r="H79" s="2" t="n"/>
      <c r="I79" s="2" t="n"/>
      <c r="J79" s="2" t="n"/>
      <c r="K79" s="2" t="n"/>
    </row>
    <row r="80">
      <c r="A80" s="2" t="n">
        <v>69</v>
      </c>
      <c r="B80" s="12">
        <f>MAX(0,'Deal Analyzer'!$B$4*(1+NORM.INV(RAND(),0,$J$4)))</f>
        <v/>
      </c>
      <c r="C80" s="12">
        <f>'Deal Analyzer'!$B$5*MAX(0.9,1+NORM.INV(RAND(),$J$5,$J$6))</f>
        <v/>
      </c>
      <c r="D80" s="12">
        <f>'Deal Analyzer'!$B$24+C80+B80*'Deal Analyzer'!$B$11</f>
        <v/>
      </c>
      <c r="E80" s="15">
        <f>IF(B80=0,0,(B80-D80)/B80)</f>
        <v/>
      </c>
      <c r="F80" s="2">
        <f>E80&gt;='Deal Analyzer'!$B$12</f>
        <v/>
      </c>
      <c r="G80" s="12">
        <f>IF(AND(F80,RAND()&lt;$J$7),'Deal Analyzer'!$B$8-'Deal Analyzer'!$B$10,-('Deal Analyzer'!$B$10+'Deal Analyzer'!$B$9*'Deal Analyzer'!$B$14))</f>
        <v/>
      </c>
      <c r="H80" s="2" t="n"/>
      <c r="I80" s="2" t="n"/>
      <c r="J80" s="2" t="n"/>
      <c r="K80" s="2" t="n"/>
    </row>
    <row r="81">
      <c r="A81" s="2" t="n">
        <v>70</v>
      </c>
      <c r="B81" s="12">
        <f>MAX(0,'Deal Analyzer'!$B$4*(1+NORM.INV(RAND(),0,$J$4)))</f>
        <v/>
      </c>
      <c r="C81" s="12">
        <f>'Deal Analyzer'!$B$5*MAX(0.9,1+NORM.INV(RAND(),$J$5,$J$6))</f>
        <v/>
      </c>
      <c r="D81" s="12">
        <f>'Deal Analyzer'!$B$24+C81+B81*'Deal Analyzer'!$B$11</f>
        <v/>
      </c>
      <c r="E81" s="15">
        <f>IF(B81=0,0,(B81-D81)/B81)</f>
        <v/>
      </c>
      <c r="F81" s="2">
        <f>E81&gt;='Deal Analyzer'!$B$12</f>
        <v/>
      </c>
      <c r="G81" s="12">
        <f>IF(AND(F81,RAND()&lt;$J$7),'Deal Analyzer'!$B$8-'Deal Analyzer'!$B$10,-('Deal Analyzer'!$B$10+'Deal Analyzer'!$B$9*'Deal Analyzer'!$B$14))</f>
        <v/>
      </c>
      <c r="H81" s="2" t="n"/>
      <c r="I81" s="2" t="n"/>
      <c r="J81" s="2" t="n"/>
      <c r="K81" s="2" t="n"/>
    </row>
    <row r="82">
      <c r="A82" s="2" t="n">
        <v>71</v>
      </c>
      <c r="B82" s="12">
        <f>MAX(0,'Deal Analyzer'!$B$4*(1+NORM.INV(RAND(),0,$J$4)))</f>
        <v/>
      </c>
      <c r="C82" s="12">
        <f>'Deal Analyzer'!$B$5*MAX(0.9,1+NORM.INV(RAND(),$J$5,$J$6))</f>
        <v/>
      </c>
      <c r="D82" s="12">
        <f>'Deal Analyzer'!$B$24+C82+B82*'Deal Analyzer'!$B$11</f>
        <v/>
      </c>
      <c r="E82" s="15">
        <f>IF(B82=0,0,(B82-D82)/B82)</f>
        <v/>
      </c>
      <c r="F82" s="2">
        <f>E82&gt;='Deal Analyzer'!$B$12</f>
        <v/>
      </c>
      <c r="G82" s="12">
        <f>IF(AND(F82,RAND()&lt;$J$7),'Deal Analyzer'!$B$8-'Deal Analyzer'!$B$10,-('Deal Analyzer'!$B$10+'Deal Analyzer'!$B$9*'Deal Analyzer'!$B$14))</f>
        <v/>
      </c>
      <c r="H82" s="2" t="n"/>
      <c r="I82" s="2" t="n"/>
      <c r="J82" s="2" t="n"/>
      <c r="K82" s="2" t="n"/>
    </row>
    <row r="83">
      <c r="A83" s="2" t="n">
        <v>72</v>
      </c>
      <c r="B83" s="12">
        <f>MAX(0,'Deal Analyzer'!$B$4*(1+NORM.INV(RAND(),0,$J$4)))</f>
        <v/>
      </c>
      <c r="C83" s="12">
        <f>'Deal Analyzer'!$B$5*MAX(0.9,1+NORM.INV(RAND(),$J$5,$J$6))</f>
        <v/>
      </c>
      <c r="D83" s="12">
        <f>'Deal Analyzer'!$B$24+C83+B83*'Deal Analyzer'!$B$11</f>
        <v/>
      </c>
      <c r="E83" s="15">
        <f>IF(B83=0,0,(B83-D83)/B83)</f>
        <v/>
      </c>
      <c r="F83" s="2">
        <f>E83&gt;='Deal Analyzer'!$B$12</f>
        <v/>
      </c>
      <c r="G83" s="12">
        <f>IF(AND(F83,RAND()&lt;$J$7),'Deal Analyzer'!$B$8-'Deal Analyzer'!$B$10,-('Deal Analyzer'!$B$10+'Deal Analyzer'!$B$9*'Deal Analyzer'!$B$14))</f>
        <v/>
      </c>
      <c r="H83" s="2" t="n"/>
      <c r="I83" s="2" t="n"/>
      <c r="J83" s="2" t="n"/>
      <c r="K83" s="2" t="n"/>
    </row>
    <row r="84">
      <c r="A84" s="2" t="n">
        <v>73</v>
      </c>
      <c r="B84" s="12">
        <f>MAX(0,'Deal Analyzer'!$B$4*(1+NORM.INV(RAND(),0,$J$4)))</f>
        <v/>
      </c>
      <c r="C84" s="12">
        <f>'Deal Analyzer'!$B$5*MAX(0.9,1+NORM.INV(RAND(),$J$5,$J$6))</f>
        <v/>
      </c>
      <c r="D84" s="12">
        <f>'Deal Analyzer'!$B$24+C84+B84*'Deal Analyzer'!$B$11</f>
        <v/>
      </c>
      <c r="E84" s="15">
        <f>IF(B84=0,0,(B84-D84)/B84)</f>
        <v/>
      </c>
      <c r="F84" s="2">
        <f>E84&gt;='Deal Analyzer'!$B$12</f>
        <v/>
      </c>
      <c r="G84" s="12">
        <f>IF(AND(F84,RAND()&lt;$J$7),'Deal Analyzer'!$B$8-'Deal Analyzer'!$B$10,-('Deal Analyzer'!$B$10+'Deal Analyzer'!$B$9*'Deal Analyzer'!$B$14))</f>
        <v/>
      </c>
      <c r="H84" s="2" t="n"/>
      <c r="I84" s="2" t="n"/>
      <c r="J84" s="2" t="n"/>
      <c r="K84" s="2" t="n"/>
    </row>
    <row r="85">
      <c r="A85" s="2" t="n">
        <v>74</v>
      </c>
      <c r="B85" s="12">
        <f>MAX(0,'Deal Analyzer'!$B$4*(1+NORM.INV(RAND(),0,$J$4)))</f>
        <v/>
      </c>
      <c r="C85" s="12">
        <f>'Deal Analyzer'!$B$5*MAX(0.9,1+NORM.INV(RAND(),$J$5,$J$6))</f>
        <v/>
      </c>
      <c r="D85" s="12">
        <f>'Deal Analyzer'!$B$24+C85+B85*'Deal Analyzer'!$B$11</f>
        <v/>
      </c>
      <c r="E85" s="15">
        <f>IF(B85=0,0,(B85-D85)/B85)</f>
        <v/>
      </c>
      <c r="F85" s="2">
        <f>E85&gt;='Deal Analyzer'!$B$12</f>
        <v/>
      </c>
      <c r="G85" s="12">
        <f>IF(AND(F85,RAND()&lt;$J$7),'Deal Analyzer'!$B$8-'Deal Analyzer'!$B$10,-('Deal Analyzer'!$B$10+'Deal Analyzer'!$B$9*'Deal Analyzer'!$B$14))</f>
        <v/>
      </c>
      <c r="H85" s="2" t="n"/>
      <c r="I85" s="2" t="n"/>
      <c r="J85" s="2" t="n"/>
      <c r="K85" s="2" t="n"/>
    </row>
    <row r="86">
      <c r="A86" s="2" t="n">
        <v>75</v>
      </c>
      <c r="B86" s="12">
        <f>MAX(0,'Deal Analyzer'!$B$4*(1+NORM.INV(RAND(),0,$J$4)))</f>
        <v/>
      </c>
      <c r="C86" s="12">
        <f>'Deal Analyzer'!$B$5*MAX(0.9,1+NORM.INV(RAND(),$J$5,$J$6))</f>
        <v/>
      </c>
      <c r="D86" s="12">
        <f>'Deal Analyzer'!$B$24+C86+B86*'Deal Analyzer'!$B$11</f>
        <v/>
      </c>
      <c r="E86" s="15">
        <f>IF(B86=0,0,(B86-D86)/B86)</f>
        <v/>
      </c>
      <c r="F86" s="2">
        <f>E86&gt;='Deal Analyzer'!$B$12</f>
        <v/>
      </c>
      <c r="G86" s="12">
        <f>IF(AND(F86,RAND()&lt;$J$7),'Deal Analyzer'!$B$8-'Deal Analyzer'!$B$10,-('Deal Analyzer'!$B$10+'Deal Analyzer'!$B$9*'Deal Analyzer'!$B$14))</f>
        <v/>
      </c>
      <c r="H86" s="2" t="n"/>
      <c r="I86" s="2" t="n"/>
      <c r="J86" s="2" t="n"/>
      <c r="K86" s="2" t="n"/>
    </row>
    <row r="87">
      <c r="A87" s="2" t="n">
        <v>76</v>
      </c>
      <c r="B87" s="12">
        <f>MAX(0,'Deal Analyzer'!$B$4*(1+NORM.INV(RAND(),0,$J$4)))</f>
        <v/>
      </c>
      <c r="C87" s="12">
        <f>'Deal Analyzer'!$B$5*MAX(0.9,1+NORM.INV(RAND(),$J$5,$J$6))</f>
        <v/>
      </c>
      <c r="D87" s="12">
        <f>'Deal Analyzer'!$B$24+C87+B87*'Deal Analyzer'!$B$11</f>
        <v/>
      </c>
      <c r="E87" s="15">
        <f>IF(B87=0,0,(B87-D87)/B87)</f>
        <v/>
      </c>
      <c r="F87" s="2">
        <f>E87&gt;='Deal Analyzer'!$B$12</f>
        <v/>
      </c>
      <c r="G87" s="12">
        <f>IF(AND(F87,RAND()&lt;$J$7),'Deal Analyzer'!$B$8-'Deal Analyzer'!$B$10,-('Deal Analyzer'!$B$10+'Deal Analyzer'!$B$9*'Deal Analyzer'!$B$14))</f>
        <v/>
      </c>
      <c r="H87" s="2" t="n"/>
      <c r="I87" s="2" t="n"/>
      <c r="J87" s="2" t="n"/>
      <c r="K87" s="2" t="n"/>
    </row>
    <row r="88">
      <c r="A88" s="2" t="n">
        <v>77</v>
      </c>
      <c r="B88" s="12">
        <f>MAX(0,'Deal Analyzer'!$B$4*(1+NORM.INV(RAND(),0,$J$4)))</f>
        <v/>
      </c>
      <c r="C88" s="12">
        <f>'Deal Analyzer'!$B$5*MAX(0.9,1+NORM.INV(RAND(),$J$5,$J$6))</f>
        <v/>
      </c>
      <c r="D88" s="12">
        <f>'Deal Analyzer'!$B$24+C88+B88*'Deal Analyzer'!$B$11</f>
        <v/>
      </c>
      <c r="E88" s="15">
        <f>IF(B88=0,0,(B88-D88)/B88)</f>
        <v/>
      </c>
      <c r="F88" s="2">
        <f>E88&gt;='Deal Analyzer'!$B$12</f>
        <v/>
      </c>
      <c r="G88" s="12">
        <f>IF(AND(F88,RAND()&lt;$J$7),'Deal Analyzer'!$B$8-'Deal Analyzer'!$B$10,-('Deal Analyzer'!$B$10+'Deal Analyzer'!$B$9*'Deal Analyzer'!$B$14))</f>
        <v/>
      </c>
      <c r="H88" s="2" t="n"/>
      <c r="I88" s="2" t="n"/>
      <c r="J88" s="2" t="n"/>
      <c r="K88" s="2" t="n"/>
    </row>
    <row r="89">
      <c r="A89" s="2" t="n">
        <v>78</v>
      </c>
      <c r="B89" s="12">
        <f>MAX(0,'Deal Analyzer'!$B$4*(1+NORM.INV(RAND(),0,$J$4)))</f>
        <v/>
      </c>
      <c r="C89" s="12">
        <f>'Deal Analyzer'!$B$5*MAX(0.9,1+NORM.INV(RAND(),$J$5,$J$6))</f>
        <v/>
      </c>
      <c r="D89" s="12">
        <f>'Deal Analyzer'!$B$24+C89+B89*'Deal Analyzer'!$B$11</f>
        <v/>
      </c>
      <c r="E89" s="15">
        <f>IF(B89=0,0,(B89-D89)/B89)</f>
        <v/>
      </c>
      <c r="F89" s="2">
        <f>E89&gt;='Deal Analyzer'!$B$12</f>
        <v/>
      </c>
      <c r="G89" s="12">
        <f>IF(AND(F89,RAND()&lt;$J$7),'Deal Analyzer'!$B$8-'Deal Analyzer'!$B$10,-('Deal Analyzer'!$B$10+'Deal Analyzer'!$B$9*'Deal Analyzer'!$B$14))</f>
        <v/>
      </c>
      <c r="H89" s="2" t="n"/>
      <c r="I89" s="2" t="n"/>
      <c r="J89" s="2" t="n"/>
      <c r="K89" s="2" t="n"/>
    </row>
    <row r="90">
      <c r="A90" s="2" t="n">
        <v>79</v>
      </c>
      <c r="B90" s="12">
        <f>MAX(0,'Deal Analyzer'!$B$4*(1+NORM.INV(RAND(),0,$J$4)))</f>
        <v/>
      </c>
      <c r="C90" s="12">
        <f>'Deal Analyzer'!$B$5*MAX(0.9,1+NORM.INV(RAND(),$J$5,$J$6))</f>
        <v/>
      </c>
      <c r="D90" s="12">
        <f>'Deal Analyzer'!$B$24+C90+B90*'Deal Analyzer'!$B$11</f>
        <v/>
      </c>
      <c r="E90" s="15">
        <f>IF(B90=0,0,(B90-D90)/B90)</f>
        <v/>
      </c>
      <c r="F90" s="2">
        <f>E90&gt;='Deal Analyzer'!$B$12</f>
        <v/>
      </c>
      <c r="G90" s="12">
        <f>IF(AND(F90,RAND()&lt;$J$7),'Deal Analyzer'!$B$8-'Deal Analyzer'!$B$10,-('Deal Analyzer'!$B$10+'Deal Analyzer'!$B$9*'Deal Analyzer'!$B$14))</f>
        <v/>
      </c>
      <c r="H90" s="2" t="n"/>
      <c r="I90" s="2" t="n"/>
      <c r="J90" s="2" t="n"/>
      <c r="K90" s="2" t="n"/>
    </row>
    <row r="91">
      <c r="A91" s="2" t="n">
        <v>80</v>
      </c>
      <c r="B91" s="12">
        <f>MAX(0,'Deal Analyzer'!$B$4*(1+NORM.INV(RAND(),0,$J$4)))</f>
        <v/>
      </c>
      <c r="C91" s="12">
        <f>'Deal Analyzer'!$B$5*MAX(0.9,1+NORM.INV(RAND(),$J$5,$J$6))</f>
        <v/>
      </c>
      <c r="D91" s="12">
        <f>'Deal Analyzer'!$B$24+C91+B91*'Deal Analyzer'!$B$11</f>
        <v/>
      </c>
      <c r="E91" s="15">
        <f>IF(B91=0,0,(B91-D91)/B91)</f>
        <v/>
      </c>
      <c r="F91" s="2">
        <f>E91&gt;='Deal Analyzer'!$B$12</f>
        <v/>
      </c>
      <c r="G91" s="12">
        <f>IF(AND(F91,RAND()&lt;$J$7),'Deal Analyzer'!$B$8-'Deal Analyzer'!$B$10,-('Deal Analyzer'!$B$10+'Deal Analyzer'!$B$9*'Deal Analyzer'!$B$14))</f>
        <v/>
      </c>
      <c r="H91" s="2" t="n"/>
      <c r="I91" s="2" t="n"/>
      <c r="J91" s="2" t="n"/>
      <c r="K91" s="2" t="n"/>
    </row>
    <row r="92">
      <c r="A92" s="2" t="n">
        <v>81</v>
      </c>
      <c r="B92" s="12">
        <f>MAX(0,'Deal Analyzer'!$B$4*(1+NORM.INV(RAND(),0,$J$4)))</f>
        <v/>
      </c>
      <c r="C92" s="12">
        <f>'Deal Analyzer'!$B$5*MAX(0.9,1+NORM.INV(RAND(),$J$5,$J$6))</f>
        <v/>
      </c>
      <c r="D92" s="12">
        <f>'Deal Analyzer'!$B$24+C92+B92*'Deal Analyzer'!$B$11</f>
        <v/>
      </c>
      <c r="E92" s="15">
        <f>IF(B92=0,0,(B92-D92)/B92)</f>
        <v/>
      </c>
      <c r="F92" s="2">
        <f>E92&gt;='Deal Analyzer'!$B$12</f>
        <v/>
      </c>
      <c r="G92" s="12">
        <f>IF(AND(F92,RAND()&lt;$J$7),'Deal Analyzer'!$B$8-'Deal Analyzer'!$B$10,-('Deal Analyzer'!$B$10+'Deal Analyzer'!$B$9*'Deal Analyzer'!$B$14))</f>
        <v/>
      </c>
      <c r="H92" s="2" t="n"/>
      <c r="I92" s="2" t="n"/>
      <c r="J92" s="2" t="n"/>
      <c r="K92" s="2" t="n"/>
    </row>
    <row r="93">
      <c r="A93" s="2" t="n">
        <v>82</v>
      </c>
      <c r="B93" s="12">
        <f>MAX(0,'Deal Analyzer'!$B$4*(1+NORM.INV(RAND(),0,$J$4)))</f>
        <v/>
      </c>
      <c r="C93" s="12">
        <f>'Deal Analyzer'!$B$5*MAX(0.9,1+NORM.INV(RAND(),$J$5,$J$6))</f>
        <v/>
      </c>
      <c r="D93" s="12">
        <f>'Deal Analyzer'!$B$24+C93+B93*'Deal Analyzer'!$B$11</f>
        <v/>
      </c>
      <c r="E93" s="15">
        <f>IF(B93=0,0,(B93-D93)/B93)</f>
        <v/>
      </c>
      <c r="F93" s="2">
        <f>E93&gt;='Deal Analyzer'!$B$12</f>
        <v/>
      </c>
      <c r="G93" s="12">
        <f>IF(AND(F93,RAND()&lt;$J$7),'Deal Analyzer'!$B$8-'Deal Analyzer'!$B$10,-('Deal Analyzer'!$B$10+'Deal Analyzer'!$B$9*'Deal Analyzer'!$B$14))</f>
        <v/>
      </c>
      <c r="H93" s="2" t="n"/>
      <c r="I93" s="2" t="n"/>
      <c r="J93" s="2" t="n"/>
      <c r="K93" s="2" t="n"/>
    </row>
    <row r="94">
      <c r="A94" s="2" t="n">
        <v>83</v>
      </c>
      <c r="B94" s="12">
        <f>MAX(0,'Deal Analyzer'!$B$4*(1+NORM.INV(RAND(),0,$J$4)))</f>
        <v/>
      </c>
      <c r="C94" s="12">
        <f>'Deal Analyzer'!$B$5*MAX(0.9,1+NORM.INV(RAND(),$J$5,$J$6))</f>
        <v/>
      </c>
      <c r="D94" s="12">
        <f>'Deal Analyzer'!$B$24+C94+B94*'Deal Analyzer'!$B$11</f>
        <v/>
      </c>
      <c r="E94" s="15">
        <f>IF(B94=0,0,(B94-D94)/B94)</f>
        <v/>
      </c>
      <c r="F94" s="2">
        <f>E94&gt;='Deal Analyzer'!$B$12</f>
        <v/>
      </c>
      <c r="G94" s="12">
        <f>IF(AND(F94,RAND()&lt;$J$7),'Deal Analyzer'!$B$8-'Deal Analyzer'!$B$10,-('Deal Analyzer'!$B$10+'Deal Analyzer'!$B$9*'Deal Analyzer'!$B$14))</f>
        <v/>
      </c>
      <c r="H94" s="2" t="n"/>
      <c r="I94" s="2" t="n"/>
      <c r="J94" s="2" t="n"/>
      <c r="K94" s="2" t="n"/>
    </row>
    <row r="95">
      <c r="A95" s="2" t="n">
        <v>84</v>
      </c>
      <c r="B95" s="12">
        <f>MAX(0,'Deal Analyzer'!$B$4*(1+NORM.INV(RAND(),0,$J$4)))</f>
        <v/>
      </c>
      <c r="C95" s="12">
        <f>'Deal Analyzer'!$B$5*MAX(0.9,1+NORM.INV(RAND(),$J$5,$J$6))</f>
        <v/>
      </c>
      <c r="D95" s="12">
        <f>'Deal Analyzer'!$B$24+C95+B95*'Deal Analyzer'!$B$11</f>
        <v/>
      </c>
      <c r="E95" s="15">
        <f>IF(B95=0,0,(B95-D95)/B95)</f>
        <v/>
      </c>
      <c r="F95" s="2">
        <f>E95&gt;='Deal Analyzer'!$B$12</f>
        <v/>
      </c>
      <c r="G95" s="12">
        <f>IF(AND(F95,RAND()&lt;$J$7),'Deal Analyzer'!$B$8-'Deal Analyzer'!$B$10,-('Deal Analyzer'!$B$10+'Deal Analyzer'!$B$9*'Deal Analyzer'!$B$14))</f>
        <v/>
      </c>
      <c r="H95" s="2" t="n"/>
      <c r="I95" s="2" t="n"/>
      <c r="J95" s="2" t="n"/>
      <c r="K95" s="2" t="n"/>
    </row>
    <row r="96">
      <c r="A96" s="2" t="n">
        <v>85</v>
      </c>
      <c r="B96" s="12">
        <f>MAX(0,'Deal Analyzer'!$B$4*(1+NORM.INV(RAND(),0,$J$4)))</f>
        <v/>
      </c>
      <c r="C96" s="12">
        <f>'Deal Analyzer'!$B$5*MAX(0.9,1+NORM.INV(RAND(),$J$5,$J$6))</f>
        <v/>
      </c>
      <c r="D96" s="12">
        <f>'Deal Analyzer'!$B$24+C96+B96*'Deal Analyzer'!$B$11</f>
        <v/>
      </c>
      <c r="E96" s="15">
        <f>IF(B96=0,0,(B96-D96)/B96)</f>
        <v/>
      </c>
      <c r="F96" s="2">
        <f>E96&gt;='Deal Analyzer'!$B$12</f>
        <v/>
      </c>
      <c r="G96" s="12">
        <f>IF(AND(F96,RAND()&lt;$J$7),'Deal Analyzer'!$B$8-'Deal Analyzer'!$B$10,-('Deal Analyzer'!$B$10+'Deal Analyzer'!$B$9*'Deal Analyzer'!$B$14))</f>
        <v/>
      </c>
      <c r="H96" s="2" t="n"/>
      <c r="I96" s="2" t="n"/>
      <c r="J96" s="2" t="n"/>
      <c r="K96" s="2" t="n"/>
    </row>
    <row r="97">
      <c r="A97" s="2" t="n">
        <v>86</v>
      </c>
      <c r="B97" s="12">
        <f>MAX(0,'Deal Analyzer'!$B$4*(1+NORM.INV(RAND(),0,$J$4)))</f>
        <v/>
      </c>
      <c r="C97" s="12">
        <f>'Deal Analyzer'!$B$5*MAX(0.9,1+NORM.INV(RAND(),$J$5,$J$6))</f>
        <v/>
      </c>
      <c r="D97" s="12">
        <f>'Deal Analyzer'!$B$24+C97+B97*'Deal Analyzer'!$B$11</f>
        <v/>
      </c>
      <c r="E97" s="15">
        <f>IF(B97=0,0,(B97-D97)/B97)</f>
        <v/>
      </c>
      <c r="F97" s="2">
        <f>E97&gt;='Deal Analyzer'!$B$12</f>
        <v/>
      </c>
      <c r="G97" s="12">
        <f>IF(AND(F97,RAND()&lt;$J$7),'Deal Analyzer'!$B$8-'Deal Analyzer'!$B$10,-('Deal Analyzer'!$B$10+'Deal Analyzer'!$B$9*'Deal Analyzer'!$B$14))</f>
        <v/>
      </c>
      <c r="H97" s="2" t="n"/>
      <c r="I97" s="2" t="n"/>
      <c r="J97" s="2" t="n"/>
      <c r="K97" s="2" t="n"/>
    </row>
    <row r="98">
      <c r="A98" s="2" t="n">
        <v>87</v>
      </c>
      <c r="B98" s="12">
        <f>MAX(0,'Deal Analyzer'!$B$4*(1+NORM.INV(RAND(),0,$J$4)))</f>
        <v/>
      </c>
      <c r="C98" s="12">
        <f>'Deal Analyzer'!$B$5*MAX(0.9,1+NORM.INV(RAND(),$J$5,$J$6))</f>
        <v/>
      </c>
      <c r="D98" s="12">
        <f>'Deal Analyzer'!$B$24+C98+B98*'Deal Analyzer'!$B$11</f>
        <v/>
      </c>
      <c r="E98" s="15">
        <f>IF(B98=0,0,(B98-D98)/B98)</f>
        <v/>
      </c>
      <c r="F98" s="2">
        <f>E98&gt;='Deal Analyzer'!$B$12</f>
        <v/>
      </c>
      <c r="G98" s="12">
        <f>IF(AND(F98,RAND()&lt;$J$7),'Deal Analyzer'!$B$8-'Deal Analyzer'!$B$10,-('Deal Analyzer'!$B$10+'Deal Analyzer'!$B$9*'Deal Analyzer'!$B$14))</f>
        <v/>
      </c>
      <c r="H98" s="2" t="n"/>
      <c r="I98" s="2" t="n"/>
      <c r="J98" s="2" t="n"/>
      <c r="K98" s="2" t="n"/>
    </row>
    <row r="99">
      <c r="A99" s="2" t="n">
        <v>88</v>
      </c>
      <c r="B99" s="12">
        <f>MAX(0,'Deal Analyzer'!$B$4*(1+NORM.INV(RAND(),0,$J$4)))</f>
        <v/>
      </c>
      <c r="C99" s="12">
        <f>'Deal Analyzer'!$B$5*MAX(0.9,1+NORM.INV(RAND(),$J$5,$J$6))</f>
        <v/>
      </c>
      <c r="D99" s="12">
        <f>'Deal Analyzer'!$B$24+C99+B99*'Deal Analyzer'!$B$11</f>
        <v/>
      </c>
      <c r="E99" s="15">
        <f>IF(B99=0,0,(B99-D99)/B99)</f>
        <v/>
      </c>
      <c r="F99" s="2">
        <f>E99&gt;='Deal Analyzer'!$B$12</f>
        <v/>
      </c>
      <c r="G99" s="12">
        <f>IF(AND(F99,RAND()&lt;$J$7),'Deal Analyzer'!$B$8-'Deal Analyzer'!$B$10,-('Deal Analyzer'!$B$10+'Deal Analyzer'!$B$9*'Deal Analyzer'!$B$14))</f>
        <v/>
      </c>
      <c r="H99" s="2" t="n"/>
      <c r="I99" s="2" t="n"/>
      <c r="J99" s="2" t="n"/>
      <c r="K99" s="2" t="n"/>
    </row>
    <row r="100">
      <c r="A100" s="2" t="n">
        <v>89</v>
      </c>
      <c r="B100" s="12">
        <f>MAX(0,'Deal Analyzer'!$B$4*(1+NORM.INV(RAND(),0,$J$4)))</f>
        <v/>
      </c>
      <c r="C100" s="12">
        <f>'Deal Analyzer'!$B$5*MAX(0.9,1+NORM.INV(RAND(),$J$5,$J$6))</f>
        <v/>
      </c>
      <c r="D100" s="12">
        <f>'Deal Analyzer'!$B$24+C100+B100*'Deal Analyzer'!$B$11</f>
        <v/>
      </c>
      <c r="E100" s="15">
        <f>IF(B100=0,0,(B100-D100)/B100)</f>
        <v/>
      </c>
      <c r="F100" s="2">
        <f>E100&gt;='Deal Analyzer'!$B$12</f>
        <v/>
      </c>
      <c r="G100" s="12">
        <f>IF(AND(F100,RAND()&lt;$J$7),'Deal Analyzer'!$B$8-'Deal Analyzer'!$B$10,-('Deal Analyzer'!$B$10+'Deal Analyzer'!$B$9*'Deal Analyzer'!$B$14))</f>
        <v/>
      </c>
      <c r="H100" s="2" t="n"/>
      <c r="I100" s="2" t="n"/>
      <c r="J100" s="2" t="n"/>
      <c r="K100" s="2" t="n"/>
    </row>
    <row r="101">
      <c r="A101" s="2" t="n">
        <v>90</v>
      </c>
      <c r="B101" s="12">
        <f>MAX(0,'Deal Analyzer'!$B$4*(1+NORM.INV(RAND(),0,$J$4)))</f>
        <v/>
      </c>
      <c r="C101" s="12">
        <f>'Deal Analyzer'!$B$5*MAX(0.9,1+NORM.INV(RAND(),$J$5,$J$6))</f>
        <v/>
      </c>
      <c r="D101" s="12">
        <f>'Deal Analyzer'!$B$24+C101+B101*'Deal Analyzer'!$B$11</f>
        <v/>
      </c>
      <c r="E101" s="15">
        <f>IF(B101=0,0,(B101-D101)/B101)</f>
        <v/>
      </c>
      <c r="F101" s="2">
        <f>E101&gt;='Deal Analyzer'!$B$12</f>
        <v/>
      </c>
      <c r="G101" s="12">
        <f>IF(AND(F101,RAND()&lt;$J$7),'Deal Analyzer'!$B$8-'Deal Analyzer'!$B$10,-('Deal Analyzer'!$B$10+'Deal Analyzer'!$B$9*'Deal Analyzer'!$B$14))</f>
        <v/>
      </c>
      <c r="H101" s="2" t="n"/>
      <c r="I101" s="2" t="n"/>
      <c r="J101" s="2" t="n"/>
      <c r="K101" s="2" t="n"/>
    </row>
    <row r="102">
      <c r="A102" s="2" t="n">
        <v>91</v>
      </c>
      <c r="B102" s="12">
        <f>MAX(0,'Deal Analyzer'!$B$4*(1+NORM.INV(RAND(),0,$J$4)))</f>
        <v/>
      </c>
      <c r="C102" s="12">
        <f>'Deal Analyzer'!$B$5*MAX(0.9,1+NORM.INV(RAND(),$J$5,$J$6))</f>
        <v/>
      </c>
      <c r="D102" s="12">
        <f>'Deal Analyzer'!$B$24+C102+B102*'Deal Analyzer'!$B$11</f>
        <v/>
      </c>
      <c r="E102" s="15">
        <f>IF(B102=0,0,(B102-D102)/B102)</f>
        <v/>
      </c>
      <c r="F102" s="2">
        <f>E102&gt;='Deal Analyzer'!$B$12</f>
        <v/>
      </c>
      <c r="G102" s="12">
        <f>IF(AND(F102,RAND()&lt;$J$7),'Deal Analyzer'!$B$8-'Deal Analyzer'!$B$10,-('Deal Analyzer'!$B$10+'Deal Analyzer'!$B$9*'Deal Analyzer'!$B$14))</f>
        <v/>
      </c>
      <c r="H102" s="2" t="n"/>
      <c r="I102" s="2" t="n"/>
      <c r="J102" s="2" t="n"/>
      <c r="K102" s="2" t="n"/>
    </row>
    <row r="103">
      <c r="A103" s="2" t="n">
        <v>92</v>
      </c>
      <c r="B103" s="12">
        <f>MAX(0,'Deal Analyzer'!$B$4*(1+NORM.INV(RAND(),0,$J$4)))</f>
        <v/>
      </c>
      <c r="C103" s="12">
        <f>'Deal Analyzer'!$B$5*MAX(0.9,1+NORM.INV(RAND(),$J$5,$J$6))</f>
        <v/>
      </c>
      <c r="D103" s="12">
        <f>'Deal Analyzer'!$B$24+C103+B103*'Deal Analyzer'!$B$11</f>
        <v/>
      </c>
      <c r="E103" s="15">
        <f>IF(B103=0,0,(B103-D103)/B103)</f>
        <v/>
      </c>
      <c r="F103" s="2">
        <f>E103&gt;='Deal Analyzer'!$B$12</f>
        <v/>
      </c>
      <c r="G103" s="12">
        <f>IF(AND(F103,RAND()&lt;$J$7),'Deal Analyzer'!$B$8-'Deal Analyzer'!$B$10,-('Deal Analyzer'!$B$10+'Deal Analyzer'!$B$9*'Deal Analyzer'!$B$14))</f>
        <v/>
      </c>
      <c r="H103" s="2" t="n"/>
      <c r="I103" s="2" t="n"/>
      <c r="J103" s="2" t="n"/>
      <c r="K103" s="2" t="n"/>
    </row>
    <row r="104">
      <c r="A104" s="2" t="n">
        <v>93</v>
      </c>
      <c r="B104" s="12">
        <f>MAX(0,'Deal Analyzer'!$B$4*(1+NORM.INV(RAND(),0,$J$4)))</f>
        <v/>
      </c>
      <c r="C104" s="12">
        <f>'Deal Analyzer'!$B$5*MAX(0.9,1+NORM.INV(RAND(),$J$5,$J$6))</f>
        <v/>
      </c>
      <c r="D104" s="12">
        <f>'Deal Analyzer'!$B$24+C104+B104*'Deal Analyzer'!$B$11</f>
        <v/>
      </c>
      <c r="E104" s="15">
        <f>IF(B104=0,0,(B104-D104)/B104)</f>
        <v/>
      </c>
      <c r="F104" s="2">
        <f>E104&gt;='Deal Analyzer'!$B$12</f>
        <v/>
      </c>
      <c r="G104" s="12">
        <f>IF(AND(F104,RAND()&lt;$J$7),'Deal Analyzer'!$B$8-'Deal Analyzer'!$B$10,-('Deal Analyzer'!$B$10+'Deal Analyzer'!$B$9*'Deal Analyzer'!$B$14))</f>
        <v/>
      </c>
      <c r="H104" s="2" t="n"/>
      <c r="I104" s="2" t="n"/>
      <c r="J104" s="2" t="n"/>
      <c r="K104" s="2" t="n"/>
    </row>
    <row r="105">
      <c r="A105" s="2" t="n">
        <v>94</v>
      </c>
      <c r="B105" s="12">
        <f>MAX(0,'Deal Analyzer'!$B$4*(1+NORM.INV(RAND(),0,$J$4)))</f>
        <v/>
      </c>
      <c r="C105" s="12">
        <f>'Deal Analyzer'!$B$5*MAX(0.9,1+NORM.INV(RAND(),$J$5,$J$6))</f>
        <v/>
      </c>
      <c r="D105" s="12">
        <f>'Deal Analyzer'!$B$24+C105+B105*'Deal Analyzer'!$B$11</f>
        <v/>
      </c>
      <c r="E105" s="15">
        <f>IF(B105=0,0,(B105-D105)/B105)</f>
        <v/>
      </c>
      <c r="F105" s="2">
        <f>E105&gt;='Deal Analyzer'!$B$12</f>
        <v/>
      </c>
      <c r="G105" s="12">
        <f>IF(AND(F105,RAND()&lt;$J$7),'Deal Analyzer'!$B$8-'Deal Analyzer'!$B$10,-('Deal Analyzer'!$B$10+'Deal Analyzer'!$B$9*'Deal Analyzer'!$B$14))</f>
        <v/>
      </c>
      <c r="H105" s="2" t="n"/>
      <c r="I105" s="2" t="n"/>
      <c r="J105" s="2" t="n"/>
      <c r="K105" s="2" t="n"/>
    </row>
    <row r="106">
      <c r="A106" s="2" t="n">
        <v>95</v>
      </c>
      <c r="B106" s="12">
        <f>MAX(0,'Deal Analyzer'!$B$4*(1+NORM.INV(RAND(),0,$J$4)))</f>
        <v/>
      </c>
      <c r="C106" s="12">
        <f>'Deal Analyzer'!$B$5*MAX(0.9,1+NORM.INV(RAND(),$J$5,$J$6))</f>
        <v/>
      </c>
      <c r="D106" s="12">
        <f>'Deal Analyzer'!$B$24+C106+B106*'Deal Analyzer'!$B$11</f>
        <v/>
      </c>
      <c r="E106" s="15">
        <f>IF(B106=0,0,(B106-D106)/B106)</f>
        <v/>
      </c>
      <c r="F106" s="2">
        <f>E106&gt;='Deal Analyzer'!$B$12</f>
        <v/>
      </c>
      <c r="G106" s="12">
        <f>IF(AND(F106,RAND()&lt;$J$7),'Deal Analyzer'!$B$8-'Deal Analyzer'!$B$10,-('Deal Analyzer'!$B$10+'Deal Analyzer'!$B$9*'Deal Analyzer'!$B$14))</f>
        <v/>
      </c>
      <c r="H106" s="2" t="n"/>
      <c r="I106" s="2" t="n"/>
      <c r="J106" s="2" t="n"/>
      <c r="K106" s="2" t="n"/>
    </row>
    <row r="107">
      <c r="A107" s="2" t="n">
        <v>96</v>
      </c>
      <c r="B107" s="12">
        <f>MAX(0,'Deal Analyzer'!$B$4*(1+NORM.INV(RAND(),0,$J$4)))</f>
        <v/>
      </c>
      <c r="C107" s="12">
        <f>'Deal Analyzer'!$B$5*MAX(0.9,1+NORM.INV(RAND(),$J$5,$J$6))</f>
        <v/>
      </c>
      <c r="D107" s="12">
        <f>'Deal Analyzer'!$B$24+C107+B107*'Deal Analyzer'!$B$11</f>
        <v/>
      </c>
      <c r="E107" s="15">
        <f>IF(B107=0,0,(B107-D107)/B107)</f>
        <v/>
      </c>
      <c r="F107" s="2">
        <f>E107&gt;='Deal Analyzer'!$B$12</f>
        <v/>
      </c>
      <c r="G107" s="12">
        <f>IF(AND(F107,RAND()&lt;$J$7),'Deal Analyzer'!$B$8-'Deal Analyzer'!$B$10,-('Deal Analyzer'!$B$10+'Deal Analyzer'!$B$9*'Deal Analyzer'!$B$14))</f>
        <v/>
      </c>
      <c r="H107" s="2" t="n"/>
      <c r="I107" s="2" t="n"/>
      <c r="J107" s="2" t="n"/>
      <c r="K107" s="2" t="n"/>
    </row>
    <row r="108">
      <c r="A108" s="2" t="n">
        <v>97</v>
      </c>
      <c r="B108" s="12">
        <f>MAX(0,'Deal Analyzer'!$B$4*(1+NORM.INV(RAND(),0,$J$4)))</f>
        <v/>
      </c>
      <c r="C108" s="12">
        <f>'Deal Analyzer'!$B$5*MAX(0.9,1+NORM.INV(RAND(),$J$5,$J$6))</f>
        <v/>
      </c>
      <c r="D108" s="12">
        <f>'Deal Analyzer'!$B$24+C108+B108*'Deal Analyzer'!$B$11</f>
        <v/>
      </c>
      <c r="E108" s="15">
        <f>IF(B108=0,0,(B108-D108)/B108)</f>
        <v/>
      </c>
      <c r="F108" s="2">
        <f>E108&gt;='Deal Analyzer'!$B$12</f>
        <v/>
      </c>
      <c r="G108" s="12">
        <f>IF(AND(F108,RAND()&lt;$J$7),'Deal Analyzer'!$B$8-'Deal Analyzer'!$B$10,-('Deal Analyzer'!$B$10+'Deal Analyzer'!$B$9*'Deal Analyzer'!$B$14))</f>
        <v/>
      </c>
      <c r="H108" s="2" t="n"/>
      <c r="I108" s="2" t="n"/>
      <c r="J108" s="2" t="n"/>
      <c r="K108" s="2" t="n"/>
    </row>
    <row r="109">
      <c r="A109" s="2" t="n">
        <v>98</v>
      </c>
      <c r="B109" s="12">
        <f>MAX(0,'Deal Analyzer'!$B$4*(1+NORM.INV(RAND(),0,$J$4)))</f>
        <v/>
      </c>
      <c r="C109" s="12">
        <f>'Deal Analyzer'!$B$5*MAX(0.9,1+NORM.INV(RAND(),$J$5,$J$6))</f>
        <v/>
      </c>
      <c r="D109" s="12">
        <f>'Deal Analyzer'!$B$24+C109+B109*'Deal Analyzer'!$B$11</f>
        <v/>
      </c>
      <c r="E109" s="15">
        <f>IF(B109=0,0,(B109-D109)/B109)</f>
        <v/>
      </c>
      <c r="F109" s="2">
        <f>E109&gt;='Deal Analyzer'!$B$12</f>
        <v/>
      </c>
      <c r="G109" s="12">
        <f>IF(AND(F109,RAND()&lt;$J$7),'Deal Analyzer'!$B$8-'Deal Analyzer'!$B$10,-('Deal Analyzer'!$B$10+'Deal Analyzer'!$B$9*'Deal Analyzer'!$B$14))</f>
        <v/>
      </c>
      <c r="H109" s="2" t="n"/>
      <c r="I109" s="2" t="n"/>
      <c r="J109" s="2" t="n"/>
      <c r="K109" s="2" t="n"/>
    </row>
    <row r="110">
      <c r="A110" s="2" t="n">
        <v>99</v>
      </c>
      <c r="B110" s="12">
        <f>MAX(0,'Deal Analyzer'!$B$4*(1+NORM.INV(RAND(),0,$J$4)))</f>
        <v/>
      </c>
      <c r="C110" s="12">
        <f>'Deal Analyzer'!$B$5*MAX(0.9,1+NORM.INV(RAND(),$J$5,$J$6))</f>
        <v/>
      </c>
      <c r="D110" s="12">
        <f>'Deal Analyzer'!$B$24+C110+B110*'Deal Analyzer'!$B$11</f>
        <v/>
      </c>
      <c r="E110" s="15">
        <f>IF(B110=0,0,(B110-D110)/B110)</f>
        <v/>
      </c>
      <c r="F110" s="2">
        <f>E110&gt;='Deal Analyzer'!$B$12</f>
        <v/>
      </c>
      <c r="G110" s="12">
        <f>IF(AND(F110,RAND()&lt;$J$7),'Deal Analyzer'!$B$8-'Deal Analyzer'!$B$10,-('Deal Analyzer'!$B$10+'Deal Analyzer'!$B$9*'Deal Analyzer'!$B$14))</f>
        <v/>
      </c>
      <c r="H110" s="2" t="n"/>
      <c r="I110" s="2" t="n"/>
      <c r="J110" s="2" t="n"/>
      <c r="K110" s="2" t="n"/>
    </row>
    <row r="111">
      <c r="A111" s="2" t="n">
        <v>100</v>
      </c>
      <c r="B111" s="12">
        <f>MAX(0,'Deal Analyzer'!$B$4*(1+NORM.INV(RAND(),0,$J$4)))</f>
        <v/>
      </c>
      <c r="C111" s="12">
        <f>'Deal Analyzer'!$B$5*MAX(0.9,1+NORM.INV(RAND(),$J$5,$J$6))</f>
        <v/>
      </c>
      <c r="D111" s="12">
        <f>'Deal Analyzer'!$B$24+C111+B111*'Deal Analyzer'!$B$11</f>
        <v/>
      </c>
      <c r="E111" s="15">
        <f>IF(B111=0,0,(B111-D111)/B111)</f>
        <v/>
      </c>
      <c r="F111" s="2">
        <f>E111&gt;='Deal Analyzer'!$B$12</f>
        <v/>
      </c>
      <c r="G111" s="12">
        <f>IF(AND(F111,RAND()&lt;$J$7),'Deal Analyzer'!$B$8-'Deal Analyzer'!$B$10,-('Deal Analyzer'!$B$10+'Deal Analyzer'!$B$9*'Deal Analyzer'!$B$14))</f>
        <v/>
      </c>
      <c r="H111" s="2" t="n"/>
      <c r="I111" s="2" t="n"/>
      <c r="J111" s="2" t="n"/>
      <c r="K111" s="2" t="n"/>
    </row>
    <row r="112">
      <c r="A112" s="2" t="n">
        <v>101</v>
      </c>
      <c r="B112" s="12">
        <f>MAX(0,'Deal Analyzer'!$B$4*(1+NORM.INV(RAND(),0,$J$4)))</f>
        <v/>
      </c>
      <c r="C112" s="12">
        <f>'Deal Analyzer'!$B$5*MAX(0.9,1+NORM.INV(RAND(),$J$5,$J$6))</f>
        <v/>
      </c>
      <c r="D112" s="12">
        <f>'Deal Analyzer'!$B$24+C112+B112*'Deal Analyzer'!$B$11</f>
        <v/>
      </c>
      <c r="E112" s="15">
        <f>IF(B112=0,0,(B112-D112)/B112)</f>
        <v/>
      </c>
      <c r="F112" s="2">
        <f>E112&gt;='Deal Analyzer'!$B$12</f>
        <v/>
      </c>
      <c r="G112" s="12">
        <f>IF(AND(F112,RAND()&lt;$J$7),'Deal Analyzer'!$B$8-'Deal Analyzer'!$B$10,-('Deal Analyzer'!$B$10+'Deal Analyzer'!$B$9*'Deal Analyzer'!$B$14))</f>
        <v/>
      </c>
      <c r="H112" s="2" t="n"/>
      <c r="I112" s="2" t="n"/>
      <c r="J112" s="2" t="n"/>
      <c r="K112" s="2" t="n"/>
    </row>
    <row r="113">
      <c r="A113" s="2" t="n">
        <v>102</v>
      </c>
      <c r="B113" s="12">
        <f>MAX(0,'Deal Analyzer'!$B$4*(1+NORM.INV(RAND(),0,$J$4)))</f>
        <v/>
      </c>
      <c r="C113" s="12">
        <f>'Deal Analyzer'!$B$5*MAX(0.9,1+NORM.INV(RAND(),$J$5,$J$6))</f>
        <v/>
      </c>
      <c r="D113" s="12">
        <f>'Deal Analyzer'!$B$24+C113+B113*'Deal Analyzer'!$B$11</f>
        <v/>
      </c>
      <c r="E113" s="15">
        <f>IF(B113=0,0,(B113-D113)/B113)</f>
        <v/>
      </c>
      <c r="F113" s="2">
        <f>E113&gt;='Deal Analyzer'!$B$12</f>
        <v/>
      </c>
      <c r="G113" s="12">
        <f>IF(AND(F113,RAND()&lt;$J$7),'Deal Analyzer'!$B$8-'Deal Analyzer'!$B$10,-('Deal Analyzer'!$B$10+'Deal Analyzer'!$B$9*'Deal Analyzer'!$B$14))</f>
        <v/>
      </c>
      <c r="H113" s="2" t="n"/>
      <c r="I113" s="2" t="n"/>
      <c r="J113" s="2" t="n"/>
      <c r="K113" s="2" t="n"/>
    </row>
    <row r="114">
      <c r="A114" s="2" t="n">
        <v>103</v>
      </c>
      <c r="B114" s="12">
        <f>MAX(0,'Deal Analyzer'!$B$4*(1+NORM.INV(RAND(),0,$J$4)))</f>
        <v/>
      </c>
      <c r="C114" s="12">
        <f>'Deal Analyzer'!$B$5*MAX(0.9,1+NORM.INV(RAND(),$J$5,$J$6))</f>
        <v/>
      </c>
      <c r="D114" s="12">
        <f>'Deal Analyzer'!$B$24+C114+B114*'Deal Analyzer'!$B$11</f>
        <v/>
      </c>
      <c r="E114" s="15">
        <f>IF(B114=0,0,(B114-D114)/B114)</f>
        <v/>
      </c>
      <c r="F114" s="2">
        <f>E114&gt;='Deal Analyzer'!$B$12</f>
        <v/>
      </c>
      <c r="G114" s="12">
        <f>IF(AND(F114,RAND()&lt;$J$7),'Deal Analyzer'!$B$8-'Deal Analyzer'!$B$10,-('Deal Analyzer'!$B$10+'Deal Analyzer'!$B$9*'Deal Analyzer'!$B$14))</f>
        <v/>
      </c>
      <c r="H114" s="2" t="n"/>
      <c r="I114" s="2" t="n"/>
      <c r="J114" s="2" t="n"/>
      <c r="K114" s="2" t="n"/>
    </row>
    <row r="115">
      <c r="A115" s="2" t="n">
        <v>104</v>
      </c>
      <c r="B115" s="12">
        <f>MAX(0,'Deal Analyzer'!$B$4*(1+NORM.INV(RAND(),0,$J$4)))</f>
        <v/>
      </c>
      <c r="C115" s="12">
        <f>'Deal Analyzer'!$B$5*MAX(0.9,1+NORM.INV(RAND(),$J$5,$J$6))</f>
        <v/>
      </c>
      <c r="D115" s="12">
        <f>'Deal Analyzer'!$B$24+C115+B115*'Deal Analyzer'!$B$11</f>
        <v/>
      </c>
      <c r="E115" s="15">
        <f>IF(B115=0,0,(B115-D115)/B115)</f>
        <v/>
      </c>
      <c r="F115" s="2">
        <f>E115&gt;='Deal Analyzer'!$B$12</f>
        <v/>
      </c>
      <c r="G115" s="12">
        <f>IF(AND(F115,RAND()&lt;$J$7),'Deal Analyzer'!$B$8-'Deal Analyzer'!$B$10,-('Deal Analyzer'!$B$10+'Deal Analyzer'!$B$9*'Deal Analyzer'!$B$14))</f>
        <v/>
      </c>
      <c r="H115" s="2" t="n"/>
      <c r="I115" s="2" t="n"/>
      <c r="J115" s="2" t="n"/>
      <c r="K115" s="2" t="n"/>
    </row>
    <row r="116">
      <c r="A116" s="2" t="n">
        <v>105</v>
      </c>
      <c r="B116" s="12">
        <f>MAX(0,'Deal Analyzer'!$B$4*(1+NORM.INV(RAND(),0,$J$4)))</f>
        <v/>
      </c>
      <c r="C116" s="12">
        <f>'Deal Analyzer'!$B$5*MAX(0.9,1+NORM.INV(RAND(),$J$5,$J$6))</f>
        <v/>
      </c>
      <c r="D116" s="12">
        <f>'Deal Analyzer'!$B$24+C116+B116*'Deal Analyzer'!$B$11</f>
        <v/>
      </c>
      <c r="E116" s="15">
        <f>IF(B116=0,0,(B116-D116)/B116)</f>
        <v/>
      </c>
      <c r="F116" s="2">
        <f>E116&gt;='Deal Analyzer'!$B$12</f>
        <v/>
      </c>
      <c r="G116" s="12">
        <f>IF(AND(F116,RAND()&lt;$J$7),'Deal Analyzer'!$B$8-'Deal Analyzer'!$B$10,-('Deal Analyzer'!$B$10+'Deal Analyzer'!$B$9*'Deal Analyzer'!$B$14))</f>
        <v/>
      </c>
      <c r="H116" s="2" t="n"/>
      <c r="I116" s="2" t="n"/>
      <c r="J116" s="2" t="n"/>
      <c r="K116" s="2" t="n"/>
    </row>
    <row r="117">
      <c r="A117" s="2" t="n">
        <v>106</v>
      </c>
      <c r="B117" s="12">
        <f>MAX(0,'Deal Analyzer'!$B$4*(1+NORM.INV(RAND(),0,$J$4)))</f>
        <v/>
      </c>
      <c r="C117" s="12">
        <f>'Deal Analyzer'!$B$5*MAX(0.9,1+NORM.INV(RAND(),$J$5,$J$6))</f>
        <v/>
      </c>
      <c r="D117" s="12">
        <f>'Deal Analyzer'!$B$24+C117+B117*'Deal Analyzer'!$B$11</f>
        <v/>
      </c>
      <c r="E117" s="15">
        <f>IF(B117=0,0,(B117-D117)/B117)</f>
        <v/>
      </c>
      <c r="F117" s="2">
        <f>E117&gt;='Deal Analyzer'!$B$12</f>
        <v/>
      </c>
      <c r="G117" s="12">
        <f>IF(AND(F117,RAND()&lt;$J$7),'Deal Analyzer'!$B$8-'Deal Analyzer'!$B$10,-('Deal Analyzer'!$B$10+'Deal Analyzer'!$B$9*'Deal Analyzer'!$B$14))</f>
        <v/>
      </c>
      <c r="H117" s="2" t="n"/>
      <c r="I117" s="2" t="n"/>
      <c r="J117" s="2" t="n"/>
      <c r="K117" s="2" t="n"/>
    </row>
    <row r="118">
      <c r="A118" s="2" t="n">
        <v>107</v>
      </c>
      <c r="B118" s="12">
        <f>MAX(0,'Deal Analyzer'!$B$4*(1+NORM.INV(RAND(),0,$J$4)))</f>
        <v/>
      </c>
      <c r="C118" s="12">
        <f>'Deal Analyzer'!$B$5*MAX(0.9,1+NORM.INV(RAND(),$J$5,$J$6))</f>
        <v/>
      </c>
      <c r="D118" s="12">
        <f>'Deal Analyzer'!$B$24+C118+B118*'Deal Analyzer'!$B$11</f>
        <v/>
      </c>
      <c r="E118" s="15">
        <f>IF(B118=0,0,(B118-D118)/B118)</f>
        <v/>
      </c>
      <c r="F118" s="2">
        <f>E118&gt;='Deal Analyzer'!$B$12</f>
        <v/>
      </c>
      <c r="G118" s="12">
        <f>IF(AND(F118,RAND()&lt;$J$7),'Deal Analyzer'!$B$8-'Deal Analyzer'!$B$10,-('Deal Analyzer'!$B$10+'Deal Analyzer'!$B$9*'Deal Analyzer'!$B$14))</f>
        <v/>
      </c>
      <c r="H118" s="2" t="n"/>
      <c r="I118" s="2" t="n"/>
      <c r="J118" s="2" t="n"/>
      <c r="K118" s="2" t="n"/>
    </row>
    <row r="119">
      <c r="A119" s="2" t="n">
        <v>108</v>
      </c>
      <c r="B119" s="12">
        <f>MAX(0,'Deal Analyzer'!$B$4*(1+NORM.INV(RAND(),0,$J$4)))</f>
        <v/>
      </c>
      <c r="C119" s="12">
        <f>'Deal Analyzer'!$B$5*MAX(0.9,1+NORM.INV(RAND(),$J$5,$J$6))</f>
        <v/>
      </c>
      <c r="D119" s="12">
        <f>'Deal Analyzer'!$B$24+C119+B119*'Deal Analyzer'!$B$11</f>
        <v/>
      </c>
      <c r="E119" s="15">
        <f>IF(B119=0,0,(B119-D119)/B119)</f>
        <v/>
      </c>
      <c r="F119" s="2">
        <f>E119&gt;='Deal Analyzer'!$B$12</f>
        <v/>
      </c>
      <c r="G119" s="12">
        <f>IF(AND(F119,RAND()&lt;$J$7),'Deal Analyzer'!$B$8-'Deal Analyzer'!$B$10,-('Deal Analyzer'!$B$10+'Deal Analyzer'!$B$9*'Deal Analyzer'!$B$14))</f>
        <v/>
      </c>
      <c r="H119" s="2" t="n"/>
      <c r="I119" s="2" t="n"/>
      <c r="J119" s="2" t="n"/>
      <c r="K119" s="2" t="n"/>
    </row>
    <row r="120">
      <c r="A120" s="2" t="n">
        <v>109</v>
      </c>
      <c r="B120" s="12">
        <f>MAX(0,'Deal Analyzer'!$B$4*(1+NORM.INV(RAND(),0,$J$4)))</f>
        <v/>
      </c>
      <c r="C120" s="12">
        <f>'Deal Analyzer'!$B$5*MAX(0.9,1+NORM.INV(RAND(),$J$5,$J$6))</f>
        <v/>
      </c>
      <c r="D120" s="12">
        <f>'Deal Analyzer'!$B$24+C120+B120*'Deal Analyzer'!$B$11</f>
        <v/>
      </c>
      <c r="E120" s="15">
        <f>IF(B120=0,0,(B120-D120)/B120)</f>
        <v/>
      </c>
      <c r="F120" s="2">
        <f>E120&gt;='Deal Analyzer'!$B$12</f>
        <v/>
      </c>
      <c r="G120" s="12">
        <f>IF(AND(F120,RAND()&lt;$J$7),'Deal Analyzer'!$B$8-'Deal Analyzer'!$B$10,-('Deal Analyzer'!$B$10+'Deal Analyzer'!$B$9*'Deal Analyzer'!$B$14))</f>
        <v/>
      </c>
      <c r="H120" s="2" t="n"/>
      <c r="I120" s="2" t="n"/>
      <c r="J120" s="2" t="n"/>
      <c r="K120" s="2" t="n"/>
    </row>
    <row r="121">
      <c r="A121" s="2" t="n">
        <v>110</v>
      </c>
      <c r="B121" s="12">
        <f>MAX(0,'Deal Analyzer'!$B$4*(1+NORM.INV(RAND(),0,$J$4)))</f>
        <v/>
      </c>
      <c r="C121" s="12">
        <f>'Deal Analyzer'!$B$5*MAX(0.9,1+NORM.INV(RAND(),$J$5,$J$6))</f>
        <v/>
      </c>
      <c r="D121" s="12">
        <f>'Deal Analyzer'!$B$24+C121+B121*'Deal Analyzer'!$B$11</f>
        <v/>
      </c>
      <c r="E121" s="15">
        <f>IF(B121=0,0,(B121-D121)/B121)</f>
        <v/>
      </c>
      <c r="F121" s="2">
        <f>E121&gt;='Deal Analyzer'!$B$12</f>
        <v/>
      </c>
      <c r="G121" s="12">
        <f>IF(AND(F121,RAND()&lt;$J$7),'Deal Analyzer'!$B$8-'Deal Analyzer'!$B$10,-('Deal Analyzer'!$B$10+'Deal Analyzer'!$B$9*'Deal Analyzer'!$B$14))</f>
        <v/>
      </c>
      <c r="H121" s="2" t="n"/>
      <c r="I121" s="2" t="n"/>
      <c r="J121" s="2" t="n"/>
      <c r="K121" s="2" t="n"/>
    </row>
    <row r="122">
      <c r="A122" s="2" t="n">
        <v>111</v>
      </c>
      <c r="B122" s="12">
        <f>MAX(0,'Deal Analyzer'!$B$4*(1+NORM.INV(RAND(),0,$J$4)))</f>
        <v/>
      </c>
      <c r="C122" s="12">
        <f>'Deal Analyzer'!$B$5*MAX(0.9,1+NORM.INV(RAND(),$J$5,$J$6))</f>
        <v/>
      </c>
      <c r="D122" s="12">
        <f>'Deal Analyzer'!$B$24+C122+B122*'Deal Analyzer'!$B$11</f>
        <v/>
      </c>
      <c r="E122" s="15">
        <f>IF(B122=0,0,(B122-D122)/B122)</f>
        <v/>
      </c>
      <c r="F122" s="2">
        <f>E122&gt;='Deal Analyzer'!$B$12</f>
        <v/>
      </c>
      <c r="G122" s="12">
        <f>IF(AND(F122,RAND()&lt;$J$7),'Deal Analyzer'!$B$8-'Deal Analyzer'!$B$10,-('Deal Analyzer'!$B$10+'Deal Analyzer'!$B$9*'Deal Analyzer'!$B$14))</f>
        <v/>
      </c>
      <c r="H122" s="2" t="n"/>
      <c r="I122" s="2" t="n"/>
      <c r="J122" s="2" t="n"/>
      <c r="K122" s="2" t="n"/>
    </row>
    <row r="123">
      <c r="A123" s="2" t="n">
        <v>112</v>
      </c>
      <c r="B123" s="12">
        <f>MAX(0,'Deal Analyzer'!$B$4*(1+NORM.INV(RAND(),0,$J$4)))</f>
        <v/>
      </c>
      <c r="C123" s="12">
        <f>'Deal Analyzer'!$B$5*MAX(0.9,1+NORM.INV(RAND(),$J$5,$J$6))</f>
        <v/>
      </c>
      <c r="D123" s="12">
        <f>'Deal Analyzer'!$B$24+C123+B123*'Deal Analyzer'!$B$11</f>
        <v/>
      </c>
      <c r="E123" s="15">
        <f>IF(B123=0,0,(B123-D123)/B123)</f>
        <v/>
      </c>
      <c r="F123" s="2">
        <f>E123&gt;='Deal Analyzer'!$B$12</f>
        <v/>
      </c>
      <c r="G123" s="12">
        <f>IF(AND(F123,RAND()&lt;$J$7),'Deal Analyzer'!$B$8-'Deal Analyzer'!$B$10,-('Deal Analyzer'!$B$10+'Deal Analyzer'!$B$9*'Deal Analyzer'!$B$14))</f>
        <v/>
      </c>
      <c r="H123" s="2" t="n"/>
      <c r="I123" s="2" t="n"/>
      <c r="J123" s="2" t="n"/>
      <c r="K123" s="2" t="n"/>
    </row>
    <row r="124">
      <c r="A124" s="2" t="n">
        <v>113</v>
      </c>
      <c r="B124" s="12">
        <f>MAX(0,'Deal Analyzer'!$B$4*(1+NORM.INV(RAND(),0,$J$4)))</f>
        <v/>
      </c>
      <c r="C124" s="12">
        <f>'Deal Analyzer'!$B$5*MAX(0.9,1+NORM.INV(RAND(),$J$5,$J$6))</f>
        <v/>
      </c>
      <c r="D124" s="12">
        <f>'Deal Analyzer'!$B$24+C124+B124*'Deal Analyzer'!$B$11</f>
        <v/>
      </c>
      <c r="E124" s="15">
        <f>IF(B124=0,0,(B124-D124)/B124)</f>
        <v/>
      </c>
      <c r="F124" s="2">
        <f>E124&gt;='Deal Analyzer'!$B$12</f>
        <v/>
      </c>
      <c r="G124" s="12">
        <f>IF(AND(F124,RAND()&lt;$J$7),'Deal Analyzer'!$B$8-'Deal Analyzer'!$B$10,-('Deal Analyzer'!$B$10+'Deal Analyzer'!$B$9*'Deal Analyzer'!$B$14))</f>
        <v/>
      </c>
      <c r="H124" s="2" t="n"/>
      <c r="I124" s="2" t="n"/>
      <c r="J124" s="2" t="n"/>
      <c r="K124" s="2" t="n"/>
    </row>
    <row r="125">
      <c r="A125" s="2" t="n">
        <v>114</v>
      </c>
      <c r="B125" s="12">
        <f>MAX(0,'Deal Analyzer'!$B$4*(1+NORM.INV(RAND(),0,$J$4)))</f>
        <v/>
      </c>
      <c r="C125" s="12">
        <f>'Deal Analyzer'!$B$5*MAX(0.9,1+NORM.INV(RAND(),$J$5,$J$6))</f>
        <v/>
      </c>
      <c r="D125" s="12">
        <f>'Deal Analyzer'!$B$24+C125+B125*'Deal Analyzer'!$B$11</f>
        <v/>
      </c>
      <c r="E125" s="15">
        <f>IF(B125=0,0,(B125-D125)/B125)</f>
        <v/>
      </c>
      <c r="F125" s="2">
        <f>E125&gt;='Deal Analyzer'!$B$12</f>
        <v/>
      </c>
      <c r="G125" s="12">
        <f>IF(AND(F125,RAND()&lt;$J$7),'Deal Analyzer'!$B$8-'Deal Analyzer'!$B$10,-('Deal Analyzer'!$B$10+'Deal Analyzer'!$B$9*'Deal Analyzer'!$B$14))</f>
        <v/>
      </c>
      <c r="H125" s="2" t="n"/>
      <c r="I125" s="2" t="n"/>
      <c r="J125" s="2" t="n"/>
      <c r="K125" s="2" t="n"/>
    </row>
    <row r="126">
      <c r="A126" s="2" t="n">
        <v>115</v>
      </c>
      <c r="B126" s="12">
        <f>MAX(0,'Deal Analyzer'!$B$4*(1+NORM.INV(RAND(),0,$J$4)))</f>
        <v/>
      </c>
      <c r="C126" s="12">
        <f>'Deal Analyzer'!$B$5*MAX(0.9,1+NORM.INV(RAND(),$J$5,$J$6))</f>
        <v/>
      </c>
      <c r="D126" s="12">
        <f>'Deal Analyzer'!$B$24+C126+B126*'Deal Analyzer'!$B$11</f>
        <v/>
      </c>
      <c r="E126" s="15">
        <f>IF(B126=0,0,(B126-D126)/B126)</f>
        <v/>
      </c>
      <c r="F126" s="2">
        <f>E126&gt;='Deal Analyzer'!$B$12</f>
        <v/>
      </c>
      <c r="G126" s="12">
        <f>IF(AND(F126,RAND()&lt;$J$7),'Deal Analyzer'!$B$8-'Deal Analyzer'!$B$10,-('Deal Analyzer'!$B$10+'Deal Analyzer'!$B$9*'Deal Analyzer'!$B$14))</f>
        <v/>
      </c>
      <c r="H126" s="2" t="n"/>
      <c r="I126" s="2" t="n"/>
      <c r="J126" s="2" t="n"/>
      <c r="K126" s="2" t="n"/>
    </row>
    <row r="127">
      <c r="A127" s="2" t="n">
        <v>116</v>
      </c>
      <c r="B127" s="12">
        <f>MAX(0,'Deal Analyzer'!$B$4*(1+NORM.INV(RAND(),0,$J$4)))</f>
        <v/>
      </c>
      <c r="C127" s="12">
        <f>'Deal Analyzer'!$B$5*MAX(0.9,1+NORM.INV(RAND(),$J$5,$J$6))</f>
        <v/>
      </c>
      <c r="D127" s="12">
        <f>'Deal Analyzer'!$B$24+C127+B127*'Deal Analyzer'!$B$11</f>
        <v/>
      </c>
      <c r="E127" s="15">
        <f>IF(B127=0,0,(B127-D127)/B127)</f>
        <v/>
      </c>
      <c r="F127" s="2">
        <f>E127&gt;='Deal Analyzer'!$B$12</f>
        <v/>
      </c>
      <c r="G127" s="12">
        <f>IF(AND(F127,RAND()&lt;$J$7),'Deal Analyzer'!$B$8-'Deal Analyzer'!$B$10,-('Deal Analyzer'!$B$10+'Deal Analyzer'!$B$9*'Deal Analyzer'!$B$14))</f>
        <v/>
      </c>
      <c r="H127" s="2" t="n"/>
      <c r="I127" s="2" t="n"/>
      <c r="J127" s="2" t="n"/>
      <c r="K127" s="2" t="n"/>
    </row>
    <row r="128">
      <c r="A128" s="2" t="n">
        <v>117</v>
      </c>
      <c r="B128" s="12">
        <f>MAX(0,'Deal Analyzer'!$B$4*(1+NORM.INV(RAND(),0,$J$4)))</f>
        <v/>
      </c>
      <c r="C128" s="12">
        <f>'Deal Analyzer'!$B$5*MAX(0.9,1+NORM.INV(RAND(),$J$5,$J$6))</f>
        <v/>
      </c>
      <c r="D128" s="12">
        <f>'Deal Analyzer'!$B$24+C128+B128*'Deal Analyzer'!$B$11</f>
        <v/>
      </c>
      <c r="E128" s="15">
        <f>IF(B128=0,0,(B128-D128)/B128)</f>
        <v/>
      </c>
      <c r="F128" s="2">
        <f>E128&gt;='Deal Analyzer'!$B$12</f>
        <v/>
      </c>
      <c r="G128" s="12">
        <f>IF(AND(F128,RAND()&lt;$J$7),'Deal Analyzer'!$B$8-'Deal Analyzer'!$B$10,-('Deal Analyzer'!$B$10+'Deal Analyzer'!$B$9*'Deal Analyzer'!$B$14))</f>
        <v/>
      </c>
      <c r="H128" s="2" t="n"/>
      <c r="I128" s="2" t="n"/>
      <c r="J128" s="2" t="n"/>
      <c r="K128" s="2" t="n"/>
    </row>
    <row r="129">
      <c r="A129" s="2" t="n">
        <v>118</v>
      </c>
      <c r="B129" s="12">
        <f>MAX(0,'Deal Analyzer'!$B$4*(1+NORM.INV(RAND(),0,$J$4)))</f>
        <v/>
      </c>
      <c r="C129" s="12">
        <f>'Deal Analyzer'!$B$5*MAX(0.9,1+NORM.INV(RAND(),$J$5,$J$6))</f>
        <v/>
      </c>
      <c r="D129" s="12">
        <f>'Deal Analyzer'!$B$24+C129+B129*'Deal Analyzer'!$B$11</f>
        <v/>
      </c>
      <c r="E129" s="15">
        <f>IF(B129=0,0,(B129-D129)/B129)</f>
        <v/>
      </c>
      <c r="F129" s="2">
        <f>E129&gt;='Deal Analyzer'!$B$12</f>
        <v/>
      </c>
      <c r="G129" s="12">
        <f>IF(AND(F129,RAND()&lt;$J$7),'Deal Analyzer'!$B$8-'Deal Analyzer'!$B$10,-('Deal Analyzer'!$B$10+'Deal Analyzer'!$B$9*'Deal Analyzer'!$B$14))</f>
        <v/>
      </c>
      <c r="H129" s="2" t="n"/>
      <c r="I129" s="2" t="n"/>
      <c r="J129" s="2" t="n"/>
      <c r="K129" s="2" t="n"/>
    </row>
    <row r="130">
      <c r="A130" s="2" t="n">
        <v>119</v>
      </c>
      <c r="B130" s="12">
        <f>MAX(0,'Deal Analyzer'!$B$4*(1+NORM.INV(RAND(),0,$J$4)))</f>
        <v/>
      </c>
      <c r="C130" s="12">
        <f>'Deal Analyzer'!$B$5*MAX(0.9,1+NORM.INV(RAND(),$J$5,$J$6))</f>
        <v/>
      </c>
      <c r="D130" s="12">
        <f>'Deal Analyzer'!$B$24+C130+B130*'Deal Analyzer'!$B$11</f>
        <v/>
      </c>
      <c r="E130" s="15">
        <f>IF(B130=0,0,(B130-D130)/B130)</f>
        <v/>
      </c>
      <c r="F130" s="2">
        <f>E130&gt;='Deal Analyzer'!$B$12</f>
        <v/>
      </c>
      <c r="G130" s="12">
        <f>IF(AND(F130,RAND()&lt;$J$7),'Deal Analyzer'!$B$8-'Deal Analyzer'!$B$10,-('Deal Analyzer'!$B$10+'Deal Analyzer'!$B$9*'Deal Analyzer'!$B$14))</f>
        <v/>
      </c>
      <c r="H130" s="2" t="n"/>
      <c r="I130" s="2" t="n"/>
      <c r="J130" s="2" t="n"/>
      <c r="K130" s="2" t="n"/>
    </row>
    <row r="131">
      <c r="A131" s="2" t="n">
        <v>120</v>
      </c>
      <c r="B131" s="12">
        <f>MAX(0,'Deal Analyzer'!$B$4*(1+NORM.INV(RAND(),0,$J$4)))</f>
        <v/>
      </c>
      <c r="C131" s="12">
        <f>'Deal Analyzer'!$B$5*MAX(0.9,1+NORM.INV(RAND(),$J$5,$J$6))</f>
        <v/>
      </c>
      <c r="D131" s="12">
        <f>'Deal Analyzer'!$B$24+C131+B131*'Deal Analyzer'!$B$11</f>
        <v/>
      </c>
      <c r="E131" s="15">
        <f>IF(B131=0,0,(B131-D131)/B131)</f>
        <v/>
      </c>
      <c r="F131" s="2">
        <f>E131&gt;='Deal Analyzer'!$B$12</f>
        <v/>
      </c>
      <c r="G131" s="12">
        <f>IF(AND(F131,RAND()&lt;$J$7),'Deal Analyzer'!$B$8-'Deal Analyzer'!$B$10,-('Deal Analyzer'!$B$10+'Deal Analyzer'!$B$9*'Deal Analyzer'!$B$14))</f>
        <v/>
      </c>
      <c r="H131" s="2" t="n"/>
      <c r="I131" s="2" t="n"/>
      <c r="J131" s="2" t="n"/>
      <c r="K131" s="2" t="n"/>
    </row>
    <row r="132">
      <c r="A132" s="2" t="n">
        <v>121</v>
      </c>
      <c r="B132" s="12">
        <f>MAX(0,'Deal Analyzer'!$B$4*(1+NORM.INV(RAND(),0,$J$4)))</f>
        <v/>
      </c>
      <c r="C132" s="12">
        <f>'Deal Analyzer'!$B$5*MAX(0.9,1+NORM.INV(RAND(),$J$5,$J$6))</f>
        <v/>
      </c>
      <c r="D132" s="12">
        <f>'Deal Analyzer'!$B$24+C132+B132*'Deal Analyzer'!$B$11</f>
        <v/>
      </c>
      <c r="E132" s="15">
        <f>IF(B132=0,0,(B132-D132)/B132)</f>
        <v/>
      </c>
      <c r="F132" s="2">
        <f>E132&gt;='Deal Analyzer'!$B$12</f>
        <v/>
      </c>
      <c r="G132" s="12">
        <f>IF(AND(F132,RAND()&lt;$J$7),'Deal Analyzer'!$B$8-'Deal Analyzer'!$B$10,-('Deal Analyzer'!$B$10+'Deal Analyzer'!$B$9*'Deal Analyzer'!$B$14))</f>
        <v/>
      </c>
      <c r="H132" s="2" t="n"/>
      <c r="I132" s="2" t="n"/>
      <c r="J132" s="2" t="n"/>
      <c r="K132" s="2" t="n"/>
    </row>
    <row r="133">
      <c r="A133" s="2" t="n">
        <v>122</v>
      </c>
      <c r="B133" s="12">
        <f>MAX(0,'Deal Analyzer'!$B$4*(1+NORM.INV(RAND(),0,$J$4)))</f>
        <v/>
      </c>
      <c r="C133" s="12">
        <f>'Deal Analyzer'!$B$5*MAX(0.9,1+NORM.INV(RAND(),$J$5,$J$6))</f>
        <v/>
      </c>
      <c r="D133" s="12">
        <f>'Deal Analyzer'!$B$24+C133+B133*'Deal Analyzer'!$B$11</f>
        <v/>
      </c>
      <c r="E133" s="15">
        <f>IF(B133=0,0,(B133-D133)/B133)</f>
        <v/>
      </c>
      <c r="F133" s="2">
        <f>E133&gt;='Deal Analyzer'!$B$12</f>
        <v/>
      </c>
      <c r="G133" s="12">
        <f>IF(AND(F133,RAND()&lt;$J$7),'Deal Analyzer'!$B$8-'Deal Analyzer'!$B$10,-('Deal Analyzer'!$B$10+'Deal Analyzer'!$B$9*'Deal Analyzer'!$B$14))</f>
        <v/>
      </c>
      <c r="H133" s="2" t="n"/>
      <c r="I133" s="2" t="n"/>
      <c r="J133" s="2" t="n"/>
      <c r="K133" s="2" t="n"/>
    </row>
    <row r="134">
      <c r="A134" s="2" t="n">
        <v>123</v>
      </c>
      <c r="B134" s="12">
        <f>MAX(0,'Deal Analyzer'!$B$4*(1+NORM.INV(RAND(),0,$J$4)))</f>
        <v/>
      </c>
      <c r="C134" s="12">
        <f>'Deal Analyzer'!$B$5*MAX(0.9,1+NORM.INV(RAND(),$J$5,$J$6))</f>
        <v/>
      </c>
      <c r="D134" s="12">
        <f>'Deal Analyzer'!$B$24+C134+B134*'Deal Analyzer'!$B$11</f>
        <v/>
      </c>
      <c r="E134" s="15">
        <f>IF(B134=0,0,(B134-D134)/B134)</f>
        <v/>
      </c>
      <c r="F134" s="2">
        <f>E134&gt;='Deal Analyzer'!$B$12</f>
        <v/>
      </c>
      <c r="G134" s="12">
        <f>IF(AND(F134,RAND()&lt;$J$7),'Deal Analyzer'!$B$8-'Deal Analyzer'!$B$10,-('Deal Analyzer'!$B$10+'Deal Analyzer'!$B$9*'Deal Analyzer'!$B$14))</f>
        <v/>
      </c>
      <c r="H134" s="2" t="n"/>
      <c r="I134" s="2" t="n"/>
      <c r="J134" s="2" t="n"/>
      <c r="K134" s="2" t="n"/>
    </row>
    <row r="135">
      <c r="A135" s="2" t="n">
        <v>124</v>
      </c>
      <c r="B135" s="12">
        <f>MAX(0,'Deal Analyzer'!$B$4*(1+NORM.INV(RAND(),0,$J$4)))</f>
        <v/>
      </c>
      <c r="C135" s="12">
        <f>'Deal Analyzer'!$B$5*MAX(0.9,1+NORM.INV(RAND(),$J$5,$J$6))</f>
        <v/>
      </c>
      <c r="D135" s="12">
        <f>'Deal Analyzer'!$B$24+C135+B135*'Deal Analyzer'!$B$11</f>
        <v/>
      </c>
      <c r="E135" s="15">
        <f>IF(B135=0,0,(B135-D135)/B135)</f>
        <v/>
      </c>
      <c r="F135" s="2">
        <f>E135&gt;='Deal Analyzer'!$B$12</f>
        <v/>
      </c>
      <c r="G135" s="12">
        <f>IF(AND(F135,RAND()&lt;$J$7),'Deal Analyzer'!$B$8-'Deal Analyzer'!$B$10,-('Deal Analyzer'!$B$10+'Deal Analyzer'!$B$9*'Deal Analyzer'!$B$14))</f>
        <v/>
      </c>
      <c r="H135" s="2" t="n"/>
      <c r="I135" s="2" t="n"/>
      <c r="J135" s="2" t="n"/>
      <c r="K135" s="2" t="n"/>
    </row>
    <row r="136">
      <c r="A136" s="2" t="n">
        <v>125</v>
      </c>
      <c r="B136" s="12">
        <f>MAX(0,'Deal Analyzer'!$B$4*(1+NORM.INV(RAND(),0,$J$4)))</f>
        <v/>
      </c>
      <c r="C136" s="12">
        <f>'Deal Analyzer'!$B$5*MAX(0.9,1+NORM.INV(RAND(),$J$5,$J$6))</f>
        <v/>
      </c>
      <c r="D136" s="12">
        <f>'Deal Analyzer'!$B$24+C136+B136*'Deal Analyzer'!$B$11</f>
        <v/>
      </c>
      <c r="E136" s="15">
        <f>IF(B136=0,0,(B136-D136)/B136)</f>
        <v/>
      </c>
      <c r="F136" s="2">
        <f>E136&gt;='Deal Analyzer'!$B$12</f>
        <v/>
      </c>
      <c r="G136" s="12">
        <f>IF(AND(F136,RAND()&lt;$J$7),'Deal Analyzer'!$B$8-'Deal Analyzer'!$B$10,-('Deal Analyzer'!$B$10+'Deal Analyzer'!$B$9*'Deal Analyzer'!$B$14))</f>
        <v/>
      </c>
      <c r="H136" s="2" t="n"/>
      <c r="I136" s="2" t="n"/>
      <c r="J136" s="2" t="n"/>
      <c r="K136" s="2" t="n"/>
    </row>
    <row r="137">
      <c r="A137" s="2" t="n">
        <v>126</v>
      </c>
      <c r="B137" s="12">
        <f>MAX(0,'Deal Analyzer'!$B$4*(1+NORM.INV(RAND(),0,$J$4)))</f>
        <v/>
      </c>
      <c r="C137" s="12">
        <f>'Deal Analyzer'!$B$5*MAX(0.9,1+NORM.INV(RAND(),$J$5,$J$6))</f>
        <v/>
      </c>
      <c r="D137" s="12">
        <f>'Deal Analyzer'!$B$24+C137+B137*'Deal Analyzer'!$B$11</f>
        <v/>
      </c>
      <c r="E137" s="15">
        <f>IF(B137=0,0,(B137-D137)/B137)</f>
        <v/>
      </c>
      <c r="F137" s="2">
        <f>E137&gt;='Deal Analyzer'!$B$12</f>
        <v/>
      </c>
      <c r="G137" s="12">
        <f>IF(AND(F137,RAND()&lt;$J$7),'Deal Analyzer'!$B$8-'Deal Analyzer'!$B$10,-('Deal Analyzer'!$B$10+'Deal Analyzer'!$B$9*'Deal Analyzer'!$B$14))</f>
        <v/>
      </c>
      <c r="H137" s="2" t="n"/>
      <c r="I137" s="2" t="n"/>
      <c r="J137" s="2" t="n"/>
      <c r="K137" s="2" t="n"/>
    </row>
    <row r="138">
      <c r="A138" s="2" t="n">
        <v>127</v>
      </c>
      <c r="B138" s="12">
        <f>MAX(0,'Deal Analyzer'!$B$4*(1+NORM.INV(RAND(),0,$J$4)))</f>
        <v/>
      </c>
      <c r="C138" s="12">
        <f>'Deal Analyzer'!$B$5*MAX(0.9,1+NORM.INV(RAND(),$J$5,$J$6))</f>
        <v/>
      </c>
      <c r="D138" s="12">
        <f>'Deal Analyzer'!$B$24+C138+B138*'Deal Analyzer'!$B$11</f>
        <v/>
      </c>
      <c r="E138" s="15">
        <f>IF(B138=0,0,(B138-D138)/B138)</f>
        <v/>
      </c>
      <c r="F138" s="2">
        <f>E138&gt;='Deal Analyzer'!$B$12</f>
        <v/>
      </c>
      <c r="G138" s="12">
        <f>IF(AND(F138,RAND()&lt;$J$7),'Deal Analyzer'!$B$8-'Deal Analyzer'!$B$10,-('Deal Analyzer'!$B$10+'Deal Analyzer'!$B$9*'Deal Analyzer'!$B$14))</f>
        <v/>
      </c>
      <c r="H138" s="2" t="n"/>
      <c r="I138" s="2" t="n"/>
      <c r="J138" s="2" t="n"/>
      <c r="K138" s="2" t="n"/>
    </row>
    <row r="139">
      <c r="A139" s="2" t="n">
        <v>128</v>
      </c>
      <c r="B139" s="12">
        <f>MAX(0,'Deal Analyzer'!$B$4*(1+NORM.INV(RAND(),0,$J$4)))</f>
        <v/>
      </c>
      <c r="C139" s="12">
        <f>'Deal Analyzer'!$B$5*MAX(0.9,1+NORM.INV(RAND(),$J$5,$J$6))</f>
        <v/>
      </c>
      <c r="D139" s="12">
        <f>'Deal Analyzer'!$B$24+C139+B139*'Deal Analyzer'!$B$11</f>
        <v/>
      </c>
      <c r="E139" s="15">
        <f>IF(B139=0,0,(B139-D139)/B139)</f>
        <v/>
      </c>
      <c r="F139" s="2">
        <f>E139&gt;='Deal Analyzer'!$B$12</f>
        <v/>
      </c>
      <c r="G139" s="12">
        <f>IF(AND(F139,RAND()&lt;$J$7),'Deal Analyzer'!$B$8-'Deal Analyzer'!$B$10,-('Deal Analyzer'!$B$10+'Deal Analyzer'!$B$9*'Deal Analyzer'!$B$14))</f>
        <v/>
      </c>
      <c r="H139" s="2" t="n"/>
      <c r="I139" s="2" t="n"/>
      <c r="J139" s="2" t="n"/>
      <c r="K139" s="2" t="n"/>
    </row>
    <row r="140">
      <c r="A140" s="2" t="n">
        <v>129</v>
      </c>
      <c r="B140" s="12">
        <f>MAX(0,'Deal Analyzer'!$B$4*(1+NORM.INV(RAND(),0,$J$4)))</f>
        <v/>
      </c>
      <c r="C140" s="12">
        <f>'Deal Analyzer'!$B$5*MAX(0.9,1+NORM.INV(RAND(),$J$5,$J$6))</f>
        <v/>
      </c>
      <c r="D140" s="12">
        <f>'Deal Analyzer'!$B$24+C140+B140*'Deal Analyzer'!$B$11</f>
        <v/>
      </c>
      <c r="E140" s="15">
        <f>IF(B140=0,0,(B140-D140)/B140)</f>
        <v/>
      </c>
      <c r="F140" s="2">
        <f>E140&gt;='Deal Analyzer'!$B$12</f>
        <v/>
      </c>
      <c r="G140" s="12">
        <f>IF(AND(F140,RAND()&lt;$J$7),'Deal Analyzer'!$B$8-'Deal Analyzer'!$B$10,-('Deal Analyzer'!$B$10+'Deal Analyzer'!$B$9*'Deal Analyzer'!$B$14))</f>
        <v/>
      </c>
      <c r="H140" s="2" t="n"/>
      <c r="I140" s="2" t="n"/>
      <c r="J140" s="2" t="n"/>
      <c r="K140" s="2" t="n"/>
    </row>
    <row r="141">
      <c r="A141" s="2" t="n">
        <v>130</v>
      </c>
      <c r="B141" s="12">
        <f>MAX(0,'Deal Analyzer'!$B$4*(1+NORM.INV(RAND(),0,$J$4)))</f>
        <v/>
      </c>
      <c r="C141" s="12">
        <f>'Deal Analyzer'!$B$5*MAX(0.9,1+NORM.INV(RAND(),$J$5,$J$6))</f>
        <v/>
      </c>
      <c r="D141" s="12">
        <f>'Deal Analyzer'!$B$24+C141+B141*'Deal Analyzer'!$B$11</f>
        <v/>
      </c>
      <c r="E141" s="15">
        <f>IF(B141=0,0,(B141-D141)/B141)</f>
        <v/>
      </c>
      <c r="F141" s="2">
        <f>E141&gt;='Deal Analyzer'!$B$12</f>
        <v/>
      </c>
      <c r="G141" s="12">
        <f>IF(AND(F141,RAND()&lt;$J$7),'Deal Analyzer'!$B$8-'Deal Analyzer'!$B$10,-('Deal Analyzer'!$B$10+'Deal Analyzer'!$B$9*'Deal Analyzer'!$B$14))</f>
        <v/>
      </c>
      <c r="H141" s="2" t="n"/>
      <c r="I141" s="2" t="n"/>
      <c r="J141" s="2" t="n"/>
      <c r="K141" s="2" t="n"/>
    </row>
    <row r="142">
      <c r="A142" s="2" t="n">
        <v>131</v>
      </c>
      <c r="B142" s="12">
        <f>MAX(0,'Deal Analyzer'!$B$4*(1+NORM.INV(RAND(),0,$J$4)))</f>
        <v/>
      </c>
      <c r="C142" s="12">
        <f>'Deal Analyzer'!$B$5*MAX(0.9,1+NORM.INV(RAND(),$J$5,$J$6))</f>
        <v/>
      </c>
      <c r="D142" s="12">
        <f>'Deal Analyzer'!$B$24+C142+B142*'Deal Analyzer'!$B$11</f>
        <v/>
      </c>
      <c r="E142" s="15">
        <f>IF(B142=0,0,(B142-D142)/B142)</f>
        <v/>
      </c>
      <c r="F142" s="2">
        <f>E142&gt;='Deal Analyzer'!$B$12</f>
        <v/>
      </c>
      <c r="G142" s="12">
        <f>IF(AND(F142,RAND()&lt;$J$7),'Deal Analyzer'!$B$8-'Deal Analyzer'!$B$10,-('Deal Analyzer'!$B$10+'Deal Analyzer'!$B$9*'Deal Analyzer'!$B$14))</f>
        <v/>
      </c>
      <c r="H142" s="2" t="n"/>
      <c r="I142" s="2" t="n"/>
      <c r="J142" s="2" t="n"/>
      <c r="K142" s="2" t="n"/>
    </row>
    <row r="143">
      <c r="A143" s="2" t="n">
        <v>132</v>
      </c>
      <c r="B143" s="12">
        <f>MAX(0,'Deal Analyzer'!$B$4*(1+NORM.INV(RAND(),0,$J$4)))</f>
        <v/>
      </c>
      <c r="C143" s="12">
        <f>'Deal Analyzer'!$B$5*MAX(0.9,1+NORM.INV(RAND(),$J$5,$J$6))</f>
        <v/>
      </c>
      <c r="D143" s="12">
        <f>'Deal Analyzer'!$B$24+C143+B143*'Deal Analyzer'!$B$11</f>
        <v/>
      </c>
      <c r="E143" s="15">
        <f>IF(B143=0,0,(B143-D143)/B143)</f>
        <v/>
      </c>
      <c r="F143" s="2">
        <f>E143&gt;='Deal Analyzer'!$B$12</f>
        <v/>
      </c>
      <c r="G143" s="12">
        <f>IF(AND(F143,RAND()&lt;$J$7),'Deal Analyzer'!$B$8-'Deal Analyzer'!$B$10,-('Deal Analyzer'!$B$10+'Deal Analyzer'!$B$9*'Deal Analyzer'!$B$14))</f>
        <v/>
      </c>
      <c r="H143" s="2" t="n"/>
      <c r="I143" s="2" t="n"/>
      <c r="J143" s="2" t="n"/>
      <c r="K143" s="2" t="n"/>
    </row>
    <row r="144">
      <c r="A144" s="2" t="n">
        <v>133</v>
      </c>
      <c r="B144" s="12">
        <f>MAX(0,'Deal Analyzer'!$B$4*(1+NORM.INV(RAND(),0,$J$4)))</f>
        <v/>
      </c>
      <c r="C144" s="12">
        <f>'Deal Analyzer'!$B$5*MAX(0.9,1+NORM.INV(RAND(),$J$5,$J$6))</f>
        <v/>
      </c>
      <c r="D144" s="12">
        <f>'Deal Analyzer'!$B$24+C144+B144*'Deal Analyzer'!$B$11</f>
        <v/>
      </c>
      <c r="E144" s="15">
        <f>IF(B144=0,0,(B144-D144)/B144)</f>
        <v/>
      </c>
      <c r="F144" s="2">
        <f>E144&gt;='Deal Analyzer'!$B$12</f>
        <v/>
      </c>
      <c r="G144" s="12">
        <f>IF(AND(F144,RAND()&lt;$J$7),'Deal Analyzer'!$B$8-'Deal Analyzer'!$B$10,-('Deal Analyzer'!$B$10+'Deal Analyzer'!$B$9*'Deal Analyzer'!$B$14))</f>
        <v/>
      </c>
      <c r="H144" s="2" t="n"/>
      <c r="I144" s="2" t="n"/>
      <c r="J144" s="2" t="n"/>
      <c r="K144" s="2" t="n"/>
    </row>
    <row r="145">
      <c r="A145" s="2" t="n">
        <v>134</v>
      </c>
      <c r="B145" s="12">
        <f>MAX(0,'Deal Analyzer'!$B$4*(1+NORM.INV(RAND(),0,$J$4)))</f>
        <v/>
      </c>
      <c r="C145" s="12">
        <f>'Deal Analyzer'!$B$5*MAX(0.9,1+NORM.INV(RAND(),$J$5,$J$6))</f>
        <v/>
      </c>
      <c r="D145" s="12">
        <f>'Deal Analyzer'!$B$24+C145+B145*'Deal Analyzer'!$B$11</f>
        <v/>
      </c>
      <c r="E145" s="15">
        <f>IF(B145=0,0,(B145-D145)/B145)</f>
        <v/>
      </c>
      <c r="F145" s="2">
        <f>E145&gt;='Deal Analyzer'!$B$12</f>
        <v/>
      </c>
      <c r="G145" s="12">
        <f>IF(AND(F145,RAND()&lt;$J$7),'Deal Analyzer'!$B$8-'Deal Analyzer'!$B$10,-('Deal Analyzer'!$B$10+'Deal Analyzer'!$B$9*'Deal Analyzer'!$B$14))</f>
        <v/>
      </c>
      <c r="H145" s="2" t="n"/>
      <c r="I145" s="2" t="n"/>
      <c r="J145" s="2" t="n"/>
      <c r="K145" s="2" t="n"/>
    </row>
    <row r="146">
      <c r="A146" s="2" t="n">
        <v>135</v>
      </c>
      <c r="B146" s="12">
        <f>MAX(0,'Deal Analyzer'!$B$4*(1+NORM.INV(RAND(),0,$J$4)))</f>
        <v/>
      </c>
      <c r="C146" s="12">
        <f>'Deal Analyzer'!$B$5*MAX(0.9,1+NORM.INV(RAND(),$J$5,$J$6))</f>
        <v/>
      </c>
      <c r="D146" s="12">
        <f>'Deal Analyzer'!$B$24+C146+B146*'Deal Analyzer'!$B$11</f>
        <v/>
      </c>
      <c r="E146" s="15">
        <f>IF(B146=0,0,(B146-D146)/B146)</f>
        <v/>
      </c>
      <c r="F146" s="2">
        <f>E146&gt;='Deal Analyzer'!$B$12</f>
        <v/>
      </c>
      <c r="G146" s="12">
        <f>IF(AND(F146,RAND()&lt;$J$7),'Deal Analyzer'!$B$8-'Deal Analyzer'!$B$10,-('Deal Analyzer'!$B$10+'Deal Analyzer'!$B$9*'Deal Analyzer'!$B$14))</f>
        <v/>
      </c>
      <c r="H146" s="2" t="n"/>
      <c r="I146" s="2" t="n"/>
      <c r="J146" s="2" t="n"/>
      <c r="K146" s="2" t="n"/>
    </row>
    <row r="147">
      <c r="A147" s="2" t="n">
        <v>136</v>
      </c>
      <c r="B147" s="12">
        <f>MAX(0,'Deal Analyzer'!$B$4*(1+NORM.INV(RAND(),0,$J$4)))</f>
        <v/>
      </c>
      <c r="C147" s="12">
        <f>'Deal Analyzer'!$B$5*MAX(0.9,1+NORM.INV(RAND(),$J$5,$J$6))</f>
        <v/>
      </c>
      <c r="D147" s="12">
        <f>'Deal Analyzer'!$B$24+C147+B147*'Deal Analyzer'!$B$11</f>
        <v/>
      </c>
      <c r="E147" s="15">
        <f>IF(B147=0,0,(B147-D147)/B147)</f>
        <v/>
      </c>
      <c r="F147" s="2">
        <f>E147&gt;='Deal Analyzer'!$B$12</f>
        <v/>
      </c>
      <c r="G147" s="12">
        <f>IF(AND(F147,RAND()&lt;$J$7),'Deal Analyzer'!$B$8-'Deal Analyzer'!$B$10,-('Deal Analyzer'!$B$10+'Deal Analyzer'!$B$9*'Deal Analyzer'!$B$14))</f>
        <v/>
      </c>
      <c r="H147" s="2" t="n"/>
      <c r="I147" s="2" t="n"/>
      <c r="J147" s="2" t="n"/>
      <c r="K147" s="2" t="n"/>
    </row>
    <row r="148">
      <c r="A148" s="2" t="n">
        <v>137</v>
      </c>
      <c r="B148" s="12">
        <f>MAX(0,'Deal Analyzer'!$B$4*(1+NORM.INV(RAND(),0,$J$4)))</f>
        <v/>
      </c>
      <c r="C148" s="12">
        <f>'Deal Analyzer'!$B$5*MAX(0.9,1+NORM.INV(RAND(),$J$5,$J$6))</f>
        <v/>
      </c>
      <c r="D148" s="12">
        <f>'Deal Analyzer'!$B$24+C148+B148*'Deal Analyzer'!$B$11</f>
        <v/>
      </c>
      <c r="E148" s="15">
        <f>IF(B148=0,0,(B148-D148)/B148)</f>
        <v/>
      </c>
      <c r="F148" s="2">
        <f>E148&gt;='Deal Analyzer'!$B$12</f>
        <v/>
      </c>
      <c r="G148" s="12">
        <f>IF(AND(F148,RAND()&lt;$J$7),'Deal Analyzer'!$B$8-'Deal Analyzer'!$B$10,-('Deal Analyzer'!$B$10+'Deal Analyzer'!$B$9*'Deal Analyzer'!$B$14))</f>
        <v/>
      </c>
      <c r="H148" s="2" t="n"/>
      <c r="I148" s="2" t="n"/>
      <c r="J148" s="2" t="n"/>
      <c r="K148" s="2" t="n"/>
    </row>
    <row r="149">
      <c r="A149" s="2" t="n">
        <v>138</v>
      </c>
      <c r="B149" s="12">
        <f>MAX(0,'Deal Analyzer'!$B$4*(1+NORM.INV(RAND(),0,$J$4)))</f>
        <v/>
      </c>
      <c r="C149" s="12">
        <f>'Deal Analyzer'!$B$5*MAX(0.9,1+NORM.INV(RAND(),$J$5,$J$6))</f>
        <v/>
      </c>
      <c r="D149" s="12">
        <f>'Deal Analyzer'!$B$24+C149+B149*'Deal Analyzer'!$B$11</f>
        <v/>
      </c>
      <c r="E149" s="15">
        <f>IF(B149=0,0,(B149-D149)/B149)</f>
        <v/>
      </c>
      <c r="F149" s="2">
        <f>E149&gt;='Deal Analyzer'!$B$12</f>
        <v/>
      </c>
      <c r="G149" s="12">
        <f>IF(AND(F149,RAND()&lt;$J$7),'Deal Analyzer'!$B$8-'Deal Analyzer'!$B$10,-('Deal Analyzer'!$B$10+'Deal Analyzer'!$B$9*'Deal Analyzer'!$B$14))</f>
        <v/>
      </c>
      <c r="H149" s="2" t="n"/>
      <c r="I149" s="2" t="n"/>
      <c r="J149" s="2" t="n"/>
      <c r="K149" s="2" t="n"/>
    </row>
    <row r="150">
      <c r="A150" s="2" t="n">
        <v>139</v>
      </c>
      <c r="B150" s="12">
        <f>MAX(0,'Deal Analyzer'!$B$4*(1+NORM.INV(RAND(),0,$J$4)))</f>
        <v/>
      </c>
      <c r="C150" s="12">
        <f>'Deal Analyzer'!$B$5*MAX(0.9,1+NORM.INV(RAND(),$J$5,$J$6))</f>
        <v/>
      </c>
      <c r="D150" s="12">
        <f>'Deal Analyzer'!$B$24+C150+B150*'Deal Analyzer'!$B$11</f>
        <v/>
      </c>
      <c r="E150" s="15">
        <f>IF(B150=0,0,(B150-D150)/B150)</f>
        <v/>
      </c>
      <c r="F150" s="2">
        <f>E150&gt;='Deal Analyzer'!$B$12</f>
        <v/>
      </c>
      <c r="G150" s="12">
        <f>IF(AND(F150,RAND()&lt;$J$7),'Deal Analyzer'!$B$8-'Deal Analyzer'!$B$10,-('Deal Analyzer'!$B$10+'Deal Analyzer'!$B$9*'Deal Analyzer'!$B$14))</f>
        <v/>
      </c>
      <c r="H150" s="2" t="n"/>
      <c r="I150" s="2" t="n"/>
      <c r="J150" s="2" t="n"/>
      <c r="K150" s="2" t="n"/>
    </row>
    <row r="151">
      <c r="A151" s="2" t="n">
        <v>140</v>
      </c>
      <c r="B151" s="12">
        <f>MAX(0,'Deal Analyzer'!$B$4*(1+NORM.INV(RAND(),0,$J$4)))</f>
        <v/>
      </c>
      <c r="C151" s="12">
        <f>'Deal Analyzer'!$B$5*MAX(0.9,1+NORM.INV(RAND(),$J$5,$J$6))</f>
        <v/>
      </c>
      <c r="D151" s="12">
        <f>'Deal Analyzer'!$B$24+C151+B151*'Deal Analyzer'!$B$11</f>
        <v/>
      </c>
      <c r="E151" s="15">
        <f>IF(B151=0,0,(B151-D151)/B151)</f>
        <v/>
      </c>
      <c r="F151" s="2">
        <f>E151&gt;='Deal Analyzer'!$B$12</f>
        <v/>
      </c>
      <c r="G151" s="12">
        <f>IF(AND(F151,RAND()&lt;$J$7),'Deal Analyzer'!$B$8-'Deal Analyzer'!$B$10,-('Deal Analyzer'!$B$10+'Deal Analyzer'!$B$9*'Deal Analyzer'!$B$14))</f>
        <v/>
      </c>
      <c r="H151" s="2" t="n"/>
      <c r="I151" s="2" t="n"/>
      <c r="J151" s="2" t="n"/>
      <c r="K151" s="2" t="n"/>
    </row>
    <row r="152">
      <c r="A152" s="2" t="n">
        <v>141</v>
      </c>
      <c r="B152" s="12">
        <f>MAX(0,'Deal Analyzer'!$B$4*(1+NORM.INV(RAND(),0,$J$4)))</f>
        <v/>
      </c>
      <c r="C152" s="12">
        <f>'Deal Analyzer'!$B$5*MAX(0.9,1+NORM.INV(RAND(),$J$5,$J$6))</f>
        <v/>
      </c>
      <c r="D152" s="12">
        <f>'Deal Analyzer'!$B$24+C152+B152*'Deal Analyzer'!$B$11</f>
        <v/>
      </c>
      <c r="E152" s="15">
        <f>IF(B152=0,0,(B152-D152)/B152)</f>
        <v/>
      </c>
      <c r="F152" s="2">
        <f>E152&gt;='Deal Analyzer'!$B$12</f>
        <v/>
      </c>
      <c r="G152" s="12">
        <f>IF(AND(F152,RAND()&lt;$J$7),'Deal Analyzer'!$B$8-'Deal Analyzer'!$B$10,-('Deal Analyzer'!$B$10+'Deal Analyzer'!$B$9*'Deal Analyzer'!$B$14))</f>
        <v/>
      </c>
      <c r="H152" s="2" t="n"/>
      <c r="I152" s="2" t="n"/>
      <c r="J152" s="2" t="n"/>
      <c r="K152" s="2" t="n"/>
    </row>
    <row r="153">
      <c r="A153" s="2" t="n">
        <v>142</v>
      </c>
      <c r="B153" s="12">
        <f>MAX(0,'Deal Analyzer'!$B$4*(1+NORM.INV(RAND(),0,$J$4)))</f>
        <v/>
      </c>
      <c r="C153" s="12">
        <f>'Deal Analyzer'!$B$5*MAX(0.9,1+NORM.INV(RAND(),$J$5,$J$6))</f>
        <v/>
      </c>
      <c r="D153" s="12">
        <f>'Deal Analyzer'!$B$24+C153+B153*'Deal Analyzer'!$B$11</f>
        <v/>
      </c>
      <c r="E153" s="15">
        <f>IF(B153=0,0,(B153-D153)/B153)</f>
        <v/>
      </c>
      <c r="F153" s="2">
        <f>E153&gt;='Deal Analyzer'!$B$12</f>
        <v/>
      </c>
      <c r="G153" s="12">
        <f>IF(AND(F153,RAND()&lt;$J$7),'Deal Analyzer'!$B$8-'Deal Analyzer'!$B$10,-('Deal Analyzer'!$B$10+'Deal Analyzer'!$B$9*'Deal Analyzer'!$B$14))</f>
        <v/>
      </c>
      <c r="H153" s="2" t="n"/>
      <c r="I153" s="2" t="n"/>
      <c r="J153" s="2" t="n"/>
      <c r="K153" s="2" t="n"/>
    </row>
    <row r="154">
      <c r="A154" s="2" t="n">
        <v>143</v>
      </c>
      <c r="B154" s="12">
        <f>MAX(0,'Deal Analyzer'!$B$4*(1+NORM.INV(RAND(),0,$J$4)))</f>
        <v/>
      </c>
      <c r="C154" s="12">
        <f>'Deal Analyzer'!$B$5*MAX(0.9,1+NORM.INV(RAND(),$J$5,$J$6))</f>
        <v/>
      </c>
      <c r="D154" s="12">
        <f>'Deal Analyzer'!$B$24+C154+B154*'Deal Analyzer'!$B$11</f>
        <v/>
      </c>
      <c r="E154" s="15">
        <f>IF(B154=0,0,(B154-D154)/B154)</f>
        <v/>
      </c>
      <c r="F154" s="2">
        <f>E154&gt;='Deal Analyzer'!$B$12</f>
        <v/>
      </c>
      <c r="G154" s="12">
        <f>IF(AND(F154,RAND()&lt;$J$7),'Deal Analyzer'!$B$8-'Deal Analyzer'!$B$10,-('Deal Analyzer'!$B$10+'Deal Analyzer'!$B$9*'Deal Analyzer'!$B$14))</f>
        <v/>
      </c>
      <c r="H154" s="2" t="n"/>
      <c r="I154" s="2" t="n"/>
      <c r="J154" s="2" t="n"/>
      <c r="K154" s="2" t="n"/>
    </row>
    <row r="155">
      <c r="A155" s="2" t="n">
        <v>144</v>
      </c>
      <c r="B155" s="12">
        <f>MAX(0,'Deal Analyzer'!$B$4*(1+NORM.INV(RAND(),0,$J$4)))</f>
        <v/>
      </c>
      <c r="C155" s="12">
        <f>'Deal Analyzer'!$B$5*MAX(0.9,1+NORM.INV(RAND(),$J$5,$J$6))</f>
        <v/>
      </c>
      <c r="D155" s="12">
        <f>'Deal Analyzer'!$B$24+C155+B155*'Deal Analyzer'!$B$11</f>
        <v/>
      </c>
      <c r="E155" s="15">
        <f>IF(B155=0,0,(B155-D155)/B155)</f>
        <v/>
      </c>
      <c r="F155" s="2">
        <f>E155&gt;='Deal Analyzer'!$B$12</f>
        <v/>
      </c>
      <c r="G155" s="12">
        <f>IF(AND(F155,RAND()&lt;$J$7),'Deal Analyzer'!$B$8-'Deal Analyzer'!$B$10,-('Deal Analyzer'!$B$10+'Deal Analyzer'!$B$9*'Deal Analyzer'!$B$14))</f>
        <v/>
      </c>
      <c r="H155" s="2" t="n"/>
      <c r="I155" s="2" t="n"/>
      <c r="J155" s="2" t="n"/>
      <c r="K155" s="2" t="n"/>
    </row>
    <row r="156">
      <c r="A156" s="2" t="n">
        <v>145</v>
      </c>
      <c r="B156" s="12">
        <f>MAX(0,'Deal Analyzer'!$B$4*(1+NORM.INV(RAND(),0,$J$4)))</f>
        <v/>
      </c>
      <c r="C156" s="12">
        <f>'Deal Analyzer'!$B$5*MAX(0.9,1+NORM.INV(RAND(),$J$5,$J$6))</f>
        <v/>
      </c>
      <c r="D156" s="12">
        <f>'Deal Analyzer'!$B$24+C156+B156*'Deal Analyzer'!$B$11</f>
        <v/>
      </c>
      <c r="E156" s="15">
        <f>IF(B156=0,0,(B156-D156)/B156)</f>
        <v/>
      </c>
      <c r="F156" s="2">
        <f>E156&gt;='Deal Analyzer'!$B$12</f>
        <v/>
      </c>
      <c r="G156" s="12">
        <f>IF(AND(F156,RAND()&lt;$J$7),'Deal Analyzer'!$B$8-'Deal Analyzer'!$B$10,-('Deal Analyzer'!$B$10+'Deal Analyzer'!$B$9*'Deal Analyzer'!$B$14))</f>
        <v/>
      </c>
      <c r="H156" s="2" t="n"/>
      <c r="I156" s="2" t="n"/>
      <c r="J156" s="2" t="n"/>
      <c r="K156" s="2" t="n"/>
    </row>
    <row r="157">
      <c r="A157" s="2" t="n">
        <v>146</v>
      </c>
      <c r="B157" s="12">
        <f>MAX(0,'Deal Analyzer'!$B$4*(1+NORM.INV(RAND(),0,$J$4)))</f>
        <v/>
      </c>
      <c r="C157" s="12">
        <f>'Deal Analyzer'!$B$5*MAX(0.9,1+NORM.INV(RAND(),$J$5,$J$6))</f>
        <v/>
      </c>
      <c r="D157" s="12">
        <f>'Deal Analyzer'!$B$24+C157+B157*'Deal Analyzer'!$B$11</f>
        <v/>
      </c>
      <c r="E157" s="15">
        <f>IF(B157=0,0,(B157-D157)/B157)</f>
        <v/>
      </c>
      <c r="F157" s="2">
        <f>E157&gt;='Deal Analyzer'!$B$12</f>
        <v/>
      </c>
      <c r="G157" s="12">
        <f>IF(AND(F157,RAND()&lt;$J$7),'Deal Analyzer'!$B$8-'Deal Analyzer'!$B$10,-('Deal Analyzer'!$B$10+'Deal Analyzer'!$B$9*'Deal Analyzer'!$B$14))</f>
        <v/>
      </c>
      <c r="H157" s="2" t="n"/>
      <c r="I157" s="2" t="n"/>
      <c r="J157" s="2" t="n"/>
      <c r="K157" s="2" t="n"/>
    </row>
    <row r="158">
      <c r="A158" s="2" t="n">
        <v>147</v>
      </c>
      <c r="B158" s="12">
        <f>MAX(0,'Deal Analyzer'!$B$4*(1+NORM.INV(RAND(),0,$J$4)))</f>
        <v/>
      </c>
      <c r="C158" s="12">
        <f>'Deal Analyzer'!$B$5*MAX(0.9,1+NORM.INV(RAND(),$J$5,$J$6))</f>
        <v/>
      </c>
      <c r="D158" s="12">
        <f>'Deal Analyzer'!$B$24+C158+B158*'Deal Analyzer'!$B$11</f>
        <v/>
      </c>
      <c r="E158" s="15">
        <f>IF(B158=0,0,(B158-D158)/B158)</f>
        <v/>
      </c>
      <c r="F158" s="2">
        <f>E158&gt;='Deal Analyzer'!$B$12</f>
        <v/>
      </c>
      <c r="G158" s="12">
        <f>IF(AND(F158,RAND()&lt;$J$7),'Deal Analyzer'!$B$8-'Deal Analyzer'!$B$10,-('Deal Analyzer'!$B$10+'Deal Analyzer'!$B$9*'Deal Analyzer'!$B$14))</f>
        <v/>
      </c>
      <c r="H158" s="2" t="n"/>
      <c r="I158" s="2" t="n"/>
      <c r="J158" s="2" t="n"/>
      <c r="K158" s="2" t="n"/>
    </row>
    <row r="159">
      <c r="A159" s="2" t="n">
        <v>148</v>
      </c>
      <c r="B159" s="12">
        <f>MAX(0,'Deal Analyzer'!$B$4*(1+NORM.INV(RAND(),0,$J$4)))</f>
        <v/>
      </c>
      <c r="C159" s="12">
        <f>'Deal Analyzer'!$B$5*MAX(0.9,1+NORM.INV(RAND(),$J$5,$J$6))</f>
        <v/>
      </c>
      <c r="D159" s="12">
        <f>'Deal Analyzer'!$B$24+C159+B159*'Deal Analyzer'!$B$11</f>
        <v/>
      </c>
      <c r="E159" s="15">
        <f>IF(B159=0,0,(B159-D159)/B159)</f>
        <v/>
      </c>
      <c r="F159" s="2">
        <f>E159&gt;='Deal Analyzer'!$B$12</f>
        <v/>
      </c>
      <c r="G159" s="12">
        <f>IF(AND(F159,RAND()&lt;$J$7),'Deal Analyzer'!$B$8-'Deal Analyzer'!$B$10,-('Deal Analyzer'!$B$10+'Deal Analyzer'!$B$9*'Deal Analyzer'!$B$14))</f>
        <v/>
      </c>
      <c r="H159" s="2" t="n"/>
      <c r="I159" s="2" t="n"/>
      <c r="J159" s="2" t="n"/>
      <c r="K159" s="2" t="n"/>
    </row>
    <row r="160">
      <c r="A160" s="2" t="n">
        <v>149</v>
      </c>
      <c r="B160" s="12">
        <f>MAX(0,'Deal Analyzer'!$B$4*(1+NORM.INV(RAND(),0,$J$4)))</f>
        <v/>
      </c>
      <c r="C160" s="12">
        <f>'Deal Analyzer'!$B$5*MAX(0.9,1+NORM.INV(RAND(),$J$5,$J$6))</f>
        <v/>
      </c>
      <c r="D160" s="12">
        <f>'Deal Analyzer'!$B$24+C160+B160*'Deal Analyzer'!$B$11</f>
        <v/>
      </c>
      <c r="E160" s="15">
        <f>IF(B160=0,0,(B160-D160)/B160)</f>
        <v/>
      </c>
      <c r="F160" s="2">
        <f>E160&gt;='Deal Analyzer'!$B$12</f>
        <v/>
      </c>
      <c r="G160" s="12">
        <f>IF(AND(F160,RAND()&lt;$J$7),'Deal Analyzer'!$B$8-'Deal Analyzer'!$B$10,-('Deal Analyzer'!$B$10+'Deal Analyzer'!$B$9*'Deal Analyzer'!$B$14))</f>
        <v/>
      </c>
      <c r="H160" s="2" t="n"/>
      <c r="I160" s="2" t="n"/>
      <c r="J160" s="2" t="n"/>
      <c r="K160" s="2" t="n"/>
    </row>
    <row r="161">
      <c r="A161" s="2" t="n">
        <v>150</v>
      </c>
      <c r="B161" s="12">
        <f>MAX(0,'Deal Analyzer'!$B$4*(1+NORM.INV(RAND(),0,$J$4)))</f>
        <v/>
      </c>
      <c r="C161" s="12">
        <f>'Deal Analyzer'!$B$5*MAX(0.9,1+NORM.INV(RAND(),$J$5,$J$6))</f>
        <v/>
      </c>
      <c r="D161" s="12">
        <f>'Deal Analyzer'!$B$24+C161+B161*'Deal Analyzer'!$B$11</f>
        <v/>
      </c>
      <c r="E161" s="15">
        <f>IF(B161=0,0,(B161-D161)/B161)</f>
        <v/>
      </c>
      <c r="F161" s="2">
        <f>E161&gt;='Deal Analyzer'!$B$12</f>
        <v/>
      </c>
      <c r="G161" s="12">
        <f>IF(AND(F161,RAND()&lt;$J$7),'Deal Analyzer'!$B$8-'Deal Analyzer'!$B$10,-('Deal Analyzer'!$B$10+'Deal Analyzer'!$B$9*'Deal Analyzer'!$B$14))</f>
        <v/>
      </c>
      <c r="H161" s="2" t="n"/>
      <c r="I161" s="2" t="n"/>
      <c r="J161" s="2" t="n"/>
      <c r="K161" s="2" t="n"/>
    </row>
    <row r="162">
      <c r="A162" s="2" t="n">
        <v>151</v>
      </c>
      <c r="B162" s="12">
        <f>MAX(0,'Deal Analyzer'!$B$4*(1+NORM.INV(RAND(),0,$J$4)))</f>
        <v/>
      </c>
      <c r="C162" s="12">
        <f>'Deal Analyzer'!$B$5*MAX(0.9,1+NORM.INV(RAND(),$J$5,$J$6))</f>
        <v/>
      </c>
      <c r="D162" s="12">
        <f>'Deal Analyzer'!$B$24+C162+B162*'Deal Analyzer'!$B$11</f>
        <v/>
      </c>
      <c r="E162" s="15">
        <f>IF(B162=0,0,(B162-D162)/B162)</f>
        <v/>
      </c>
      <c r="F162" s="2">
        <f>E162&gt;='Deal Analyzer'!$B$12</f>
        <v/>
      </c>
      <c r="G162" s="12">
        <f>IF(AND(F162,RAND()&lt;$J$7),'Deal Analyzer'!$B$8-'Deal Analyzer'!$B$10,-('Deal Analyzer'!$B$10+'Deal Analyzer'!$B$9*'Deal Analyzer'!$B$14))</f>
        <v/>
      </c>
      <c r="H162" s="2" t="n"/>
      <c r="I162" s="2" t="n"/>
      <c r="J162" s="2" t="n"/>
      <c r="K162" s="2" t="n"/>
    </row>
    <row r="163">
      <c r="A163" s="2" t="n">
        <v>152</v>
      </c>
      <c r="B163" s="12">
        <f>MAX(0,'Deal Analyzer'!$B$4*(1+NORM.INV(RAND(),0,$J$4)))</f>
        <v/>
      </c>
      <c r="C163" s="12">
        <f>'Deal Analyzer'!$B$5*MAX(0.9,1+NORM.INV(RAND(),$J$5,$J$6))</f>
        <v/>
      </c>
      <c r="D163" s="12">
        <f>'Deal Analyzer'!$B$24+C163+B163*'Deal Analyzer'!$B$11</f>
        <v/>
      </c>
      <c r="E163" s="15">
        <f>IF(B163=0,0,(B163-D163)/B163)</f>
        <v/>
      </c>
      <c r="F163" s="2">
        <f>E163&gt;='Deal Analyzer'!$B$12</f>
        <v/>
      </c>
      <c r="G163" s="12">
        <f>IF(AND(F163,RAND()&lt;$J$7),'Deal Analyzer'!$B$8-'Deal Analyzer'!$B$10,-('Deal Analyzer'!$B$10+'Deal Analyzer'!$B$9*'Deal Analyzer'!$B$14))</f>
        <v/>
      </c>
      <c r="H163" s="2" t="n"/>
      <c r="I163" s="2" t="n"/>
      <c r="J163" s="2" t="n"/>
      <c r="K163" s="2" t="n"/>
    </row>
    <row r="164">
      <c r="A164" s="2" t="n">
        <v>153</v>
      </c>
      <c r="B164" s="12">
        <f>MAX(0,'Deal Analyzer'!$B$4*(1+NORM.INV(RAND(),0,$J$4)))</f>
        <v/>
      </c>
      <c r="C164" s="12">
        <f>'Deal Analyzer'!$B$5*MAX(0.9,1+NORM.INV(RAND(),$J$5,$J$6))</f>
        <v/>
      </c>
      <c r="D164" s="12">
        <f>'Deal Analyzer'!$B$24+C164+B164*'Deal Analyzer'!$B$11</f>
        <v/>
      </c>
      <c r="E164" s="15">
        <f>IF(B164=0,0,(B164-D164)/B164)</f>
        <v/>
      </c>
      <c r="F164" s="2">
        <f>E164&gt;='Deal Analyzer'!$B$12</f>
        <v/>
      </c>
      <c r="G164" s="12">
        <f>IF(AND(F164,RAND()&lt;$J$7),'Deal Analyzer'!$B$8-'Deal Analyzer'!$B$10,-('Deal Analyzer'!$B$10+'Deal Analyzer'!$B$9*'Deal Analyzer'!$B$14))</f>
        <v/>
      </c>
      <c r="H164" s="2" t="n"/>
      <c r="I164" s="2" t="n"/>
      <c r="J164" s="2" t="n"/>
      <c r="K164" s="2" t="n"/>
    </row>
    <row r="165">
      <c r="A165" s="2" t="n">
        <v>154</v>
      </c>
      <c r="B165" s="12">
        <f>MAX(0,'Deal Analyzer'!$B$4*(1+NORM.INV(RAND(),0,$J$4)))</f>
        <v/>
      </c>
      <c r="C165" s="12">
        <f>'Deal Analyzer'!$B$5*MAX(0.9,1+NORM.INV(RAND(),$J$5,$J$6))</f>
        <v/>
      </c>
      <c r="D165" s="12">
        <f>'Deal Analyzer'!$B$24+C165+B165*'Deal Analyzer'!$B$11</f>
        <v/>
      </c>
      <c r="E165" s="15">
        <f>IF(B165=0,0,(B165-D165)/B165)</f>
        <v/>
      </c>
      <c r="F165" s="2">
        <f>E165&gt;='Deal Analyzer'!$B$12</f>
        <v/>
      </c>
      <c r="G165" s="12">
        <f>IF(AND(F165,RAND()&lt;$J$7),'Deal Analyzer'!$B$8-'Deal Analyzer'!$B$10,-('Deal Analyzer'!$B$10+'Deal Analyzer'!$B$9*'Deal Analyzer'!$B$14))</f>
        <v/>
      </c>
      <c r="H165" s="2" t="n"/>
      <c r="I165" s="2" t="n"/>
      <c r="J165" s="2" t="n"/>
      <c r="K165" s="2" t="n"/>
    </row>
    <row r="166">
      <c r="A166" s="2" t="n">
        <v>155</v>
      </c>
      <c r="B166" s="12">
        <f>MAX(0,'Deal Analyzer'!$B$4*(1+NORM.INV(RAND(),0,$J$4)))</f>
        <v/>
      </c>
      <c r="C166" s="12">
        <f>'Deal Analyzer'!$B$5*MAX(0.9,1+NORM.INV(RAND(),$J$5,$J$6))</f>
        <v/>
      </c>
      <c r="D166" s="12">
        <f>'Deal Analyzer'!$B$24+C166+B166*'Deal Analyzer'!$B$11</f>
        <v/>
      </c>
      <c r="E166" s="15">
        <f>IF(B166=0,0,(B166-D166)/B166)</f>
        <v/>
      </c>
      <c r="F166" s="2">
        <f>E166&gt;='Deal Analyzer'!$B$12</f>
        <v/>
      </c>
      <c r="G166" s="12">
        <f>IF(AND(F166,RAND()&lt;$J$7),'Deal Analyzer'!$B$8-'Deal Analyzer'!$B$10,-('Deal Analyzer'!$B$10+'Deal Analyzer'!$B$9*'Deal Analyzer'!$B$14))</f>
        <v/>
      </c>
      <c r="H166" s="2" t="n"/>
      <c r="I166" s="2" t="n"/>
      <c r="J166" s="2" t="n"/>
      <c r="K166" s="2" t="n"/>
    </row>
    <row r="167">
      <c r="A167" s="2" t="n">
        <v>156</v>
      </c>
      <c r="B167" s="12">
        <f>MAX(0,'Deal Analyzer'!$B$4*(1+NORM.INV(RAND(),0,$J$4)))</f>
        <v/>
      </c>
      <c r="C167" s="12">
        <f>'Deal Analyzer'!$B$5*MAX(0.9,1+NORM.INV(RAND(),$J$5,$J$6))</f>
        <v/>
      </c>
      <c r="D167" s="12">
        <f>'Deal Analyzer'!$B$24+C167+B167*'Deal Analyzer'!$B$11</f>
        <v/>
      </c>
      <c r="E167" s="15">
        <f>IF(B167=0,0,(B167-D167)/B167)</f>
        <v/>
      </c>
      <c r="F167" s="2">
        <f>E167&gt;='Deal Analyzer'!$B$12</f>
        <v/>
      </c>
      <c r="G167" s="12">
        <f>IF(AND(F167,RAND()&lt;$J$7),'Deal Analyzer'!$B$8-'Deal Analyzer'!$B$10,-('Deal Analyzer'!$B$10+'Deal Analyzer'!$B$9*'Deal Analyzer'!$B$14))</f>
        <v/>
      </c>
      <c r="H167" s="2" t="n"/>
      <c r="I167" s="2" t="n"/>
      <c r="J167" s="2" t="n"/>
      <c r="K167" s="2" t="n"/>
    </row>
    <row r="168">
      <c r="A168" s="2" t="n">
        <v>157</v>
      </c>
      <c r="B168" s="12">
        <f>MAX(0,'Deal Analyzer'!$B$4*(1+NORM.INV(RAND(),0,$J$4)))</f>
        <v/>
      </c>
      <c r="C168" s="12">
        <f>'Deal Analyzer'!$B$5*MAX(0.9,1+NORM.INV(RAND(),$J$5,$J$6))</f>
        <v/>
      </c>
      <c r="D168" s="12">
        <f>'Deal Analyzer'!$B$24+C168+B168*'Deal Analyzer'!$B$11</f>
        <v/>
      </c>
      <c r="E168" s="15">
        <f>IF(B168=0,0,(B168-D168)/B168)</f>
        <v/>
      </c>
      <c r="F168" s="2">
        <f>E168&gt;='Deal Analyzer'!$B$12</f>
        <v/>
      </c>
      <c r="G168" s="12">
        <f>IF(AND(F168,RAND()&lt;$J$7),'Deal Analyzer'!$B$8-'Deal Analyzer'!$B$10,-('Deal Analyzer'!$B$10+'Deal Analyzer'!$B$9*'Deal Analyzer'!$B$14))</f>
        <v/>
      </c>
      <c r="H168" s="2" t="n"/>
      <c r="I168" s="2" t="n"/>
      <c r="J168" s="2" t="n"/>
      <c r="K168" s="2" t="n"/>
    </row>
    <row r="169">
      <c r="A169" s="2" t="n">
        <v>158</v>
      </c>
      <c r="B169" s="12">
        <f>MAX(0,'Deal Analyzer'!$B$4*(1+NORM.INV(RAND(),0,$J$4)))</f>
        <v/>
      </c>
      <c r="C169" s="12">
        <f>'Deal Analyzer'!$B$5*MAX(0.9,1+NORM.INV(RAND(),$J$5,$J$6))</f>
        <v/>
      </c>
      <c r="D169" s="12">
        <f>'Deal Analyzer'!$B$24+C169+B169*'Deal Analyzer'!$B$11</f>
        <v/>
      </c>
      <c r="E169" s="15">
        <f>IF(B169=0,0,(B169-D169)/B169)</f>
        <v/>
      </c>
      <c r="F169" s="2">
        <f>E169&gt;='Deal Analyzer'!$B$12</f>
        <v/>
      </c>
      <c r="G169" s="12">
        <f>IF(AND(F169,RAND()&lt;$J$7),'Deal Analyzer'!$B$8-'Deal Analyzer'!$B$10,-('Deal Analyzer'!$B$10+'Deal Analyzer'!$B$9*'Deal Analyzer'!$B$14))</f>
        <v/>
      </c>
      <c r="H169" s="2" t="n"/>
      <c r="I169" s="2" t="n"/>
      <c r="J169" s="2" t="n"/>
      <c r="K169" s="2" t="n"/>
    </row>
    <row r="170">
      <c r="A170" s="2" t="n">
        <v>159</v>
      </c>
      <c r="B170" s="12">
        <f>MAX(0,'Deal Analyzer'!$B$4*(1+NORM.INV(RAND(),0,$J$4)))</f>
        <v/>
      </c>
      <c r="C170" s="12">
        <f>'Deal Analyzer'!$B$5*MAX(0.9,1+NORM.INV(RAND(),$J$5,$J$6))</f>
        <v/>
      </c>
      <c r="D170" s="12">
        <f>'Deal Analyzer'!$B$24+C170+B170*'Deal Analyzer'!$B$11</f>
        <v/>
      </c>
      <c r="E170" s="15">
        <f>IF(B170=0,0,(B170-D170)/B170)</f>
        <v/>
      </c>
      <c r="F170" s="2">
        <f>E170&gt;='Deal Analyzer'!$B$12</f>
        <v/>
      </c>
      <c r="G170" s="12">
        <f>IF(AND(F170,RAND()&lt;$J$7),'Deal Analyzer'!$B$8-'Deal Analyzer'!$B$10,-('Deal Analyzer'!$B$10+'Deal Analyzer'!$B$9*'Deal Analyzer'!$B$14))</f>
        <v/>
      </c>
      <c r="H170" s="2" t="n"/>
      <c r="I170" s="2" t="n"/>
      <c r="J170" s="2" t="n"/>
      <c r="K170" s="2" t="n"/>
    </row>
    <row r="171">
      <c r="A171" s="2" t="n">
        <v>160</v>
      </c>
      <c r="B171" s="12">
        <f>MAX(0,'Deal Analyzer'!$B$4*(1+NORM.INV(RAND(),0,$J$4)))</f>
        <v/>
      </c>
      <c r="C171" s="12">
        <f>'Deal Analyzer'!$B$5*MAX(0.9,1+NORM.INV(RAND(),$J$5,$J$6))</f>
        <v/>
      </c>
      <c r="D171" s="12">
        <f>'Deal Analyzer'!$B$24+C171+B171*'Deal Analyzer'!$B$11</f>
        <v/>
      </c>
      <c r="E171" s="15">
        <f>IF(B171=0,0,(B171-D171)/B171)</f>
        <v/>
      </c>
      <c r="F171" s="2">
        <f>E171&gt;='Deal Analyzer'!$B$12</f>
        <v/>
      </c>
      <c r="G171" s="12">
        <f>IF(AND(F171,RAND()&lt;$J$7),'Deal Analyzer'!$B$8-'Deal Analyzer'!$B$10,-('Deal Analyzer'!$B$10+'Deal Analyzer'!$B$9*'Deal Analyzer'!$B$14))</f>
        <v/>
      </c>
      <c r="H171" s="2" t="n"/>
      <c r="I171" s="2" t="n"/>
      <c r="J171" s="2" t="n"/>
      <c r="K171" s="2" t="n"/>
    </row>
    <row r="172">
      <c r="A172" s="2" t="n">
        <v>161</v>
      </c>
      <c r="B172" s="12">
        <f>MAX(0,'Deal Analyzer'!$B$4*(1+NORM.INV(RAND(),0,$J$4)))</f>
        <v/>
      </c>
      <c r="C172" s="12">
        <f>'Deal Analyzer'!$B$5*MAX(0.9,1+NORM.INV(RAND(),$J$5,$J$6))</f>
        <v/>
      </c>
      <c r="D172" s="12">
        <f>'Deal Analyzer'!$B$24+C172+B172*'Deal Analyzer'!$B$11</f>
        <v/>
      </c>
      <c r="E172" s="15">
        <f>IF(B172=0,0,(B172-D172)/B172)</f>
        <v/>
      </c>
      <c r="F172" s="2">
        <f>E172&gt;='Deal Analyzer'!$B$12</f>
        <v/>
      </c>
      <c r="G172" s="12">
        <f>IF(AND(F172,RAND()&lt;$J$7),'Deal Analyzer'!$B$8-'Deal Analyzer'!$B$10,-('Deal Analyzer'!$B$10+'Deal Analyzer'!$B$9*'Deal Analyzer'!$B$14))</f>
        <v/>
      </c>
      <c r="H172" s="2" t="n"/>
      <c r="I172" s="2" t="n"/>
      <c r="J172" s="2" t="n"/>
      <c r="K172" s="2" t="n"/>
    </row>
    <row r="173">
      <c r="A173" s="2" t="n">
        <v>162</v>
      </c>
      <c r="B173" s="12">
        <f>MAX(0,'Deal Analyzer'!$B$4*(1+NORM.INV(RAND(),0,$J$4)))</f>
        <v/>
      </c>
      <c r="C173" s="12">
        <f>'Deal Analyzer'!$B$5*MAX(0.9,1+NORM.INV(RAND(),$J$5,$J$6))</f>
        <v/>
      </c>
      <c r="D173" s="12">
        <f>'Deal Analyzer'!$B$24+C173+B173*'Deal Analyzer'!$B$11</f>
        <v/>
      </c>
      <c r="E173" s="15">
        <f>IF(B173=0,0,(B173-D173)/B173)</f>
        <v/>
      </c>
      <c r="F173" s="2">
        <f>E173&gt;='Deal Analyzer'!$B$12</f>
        <v/>
      </c>
      <c r="G173" s="12">
        <f>IF(AND(F173,RAND()&lt;$J$7),'Deal Analyzer'!$B$8-'Deal Analyzer'!$B$10,-('Deal Analyzer'!$B$10+'Deal Analyzer'!$B$9*'Deal Analyzer'!$B$14))</f>
        <v/>
      </c>
      <c r="H173" s="2" t="n"/>
      <c r="I173" s="2" t="n"/>
      <c r="J173" s="2" t="n"/>
      <c r="K173" s="2" t="n"/>
    </row>
    <row r="174">
      <c r="A174" s="2" t="n">
        <v>163</v>
      </c>
      <c r="B174" s="12">
        <f>MAX(0,'Deal Analyzer'!$B$4*(1+NORM.INV(RAND(),0,$J$4)))</f>
        <v/>
      </c>
      <c r="C174" s="12">
        <f>'Deal Analyzer'!$B$5*MAX(0.9,1+NORM.INV(RAND(),$J$5,$J$6))</f>
        <v/>
      </c>
      <c r="D174" s="12">
        <f>'Deal Analyzer'!$B$24+C174+B174*'Deal Analyzer'!$B$11</f>
        <v/>
      </c>
      <c r="E174" s="15">
        <f>IF(B174=0,0,(B174-D174)/B174)</f>
        <v/>
      </c>
      <c r="F174" s="2">
        <f>E174&gt;='Deal Analyzer'!$B$12</f>
        <v/>
      </c>
      <c r="G174" s="12">
        <f>IF(AND(F174,RAND()&lt;$J$7),'Deal Analyzer'!$B$8-'Deal Analyzer'!$B$10,-('Deal Analyzer'!$B$10+'Deal Analyzer'!$B$9*'Deal Analyzer'!$B$14))</f>
        <v/>
      </c>
      <c r="H174" s="2" t="n"/>
      <c r="I174" s="2" t="n"/>
      <c r="J174" s="2" t="n"/>
      <c r="K174" s="2" t="n"/>
    </row>
    <row r="175">
      <c r="A175" s="2" t="n">
        <v>164</v>
      </c>
      <c r="B175" s="12">
        <f>MAX(0,'Deal Analyzer'!$B$4*(1+NORM.INV(RAND(),0,$J$4)))</f>
        <v/>
      </c>
      <c r="C175" s="12">
        <f>'Deal Analyzer'!$B$5*MAX(0.9,1+NORM.INV(RAND(),$J$5,$J$6))</f>
        <v/>
      </c>
      <c r="D175" s="12">
        <f>'Deal Analyzer'!$B$24+C175+B175*'Deal Analyzer'!$B$11</f>
        <v/>
      </c>
      <c r="E175" s="15">
        <f>IF(B175=0,0,(B175-D175)/B175)</f>
        <v/>
      </c>
      <c r="F175" s="2">
        <f>E175&gt;='Deal Analyzer'!$B$12</f>
        <v/>
      </c>
      <c r="G175" s="12">
        <f>IF(AND(F175,RAND()&lt;$J$7),'Deal Analyzer'!$B$8-'Deal Analyzer'!$B$10,-('Deal Analyzer'!$B$10+'Deal Analyzer'!$B$9*'Deal Analyzer'!$B$14))</f>
        <v/>
      </c>
      <c r="H175" s="2" t="n"/>
      <c r="I175" s="2" t="n"/>
      <c r="J175" s="2" t="n"/>
      <c r="K175" s="2" t="n"/>
    </row>
    <row r="176">
      <c r="A176" s="2" t="n">
        <v>165</v>
      </c>
      <c r="B176" s="12">
        <f>MAX(0,'Deal Analyzer'!$B$4*(1+NORM.INV(RAND(),0,$J$4)))</f>
        <v/>
      </c>
      <c r="C176" s="12">
        <f>'Deal Analyzer'!$B$5*MAX(0.9,1+NORM.INV(RAND(),$J$5,$J$6))</f>
        <v/>
      </c>
      <c r="D176" s="12">
        <f>'Deal Analyzer'!$B$24+C176+B176*'Deal Analyzer'!$B$11</f>
        <v/>
      </c>
      <c r="E176" s="15">
        <f>IF(B176=0,0,(B176-D176)/B176)</f>
        <v/>
      </c>
      <c r="F176" s="2">
        <f>E176&gt;='Deal Analyzer'!$B$12</f>
        <v/>
      </c>
      <c r="G176" s="12">
        <f>IF(AND(F176,RAND()&lt;$J$7),'Deal Analyzer'!$B$8-'Deal Analyzer'!$B$10,-('Deal Analyzer'!$B$10+'Deal Analyzer'!$B$9*'Deal Analyzer'!$B$14))</f>
        <v/>
      </c>
      <c r="H176" s="2" t="n"/>
      <c r="I176" s="2" t="n"/>
      <c r="J176" s="2" t="n"/>
      <c r="K176" s="2" t="n"/>
    </row>
    <row r="177">
      <c r="A177" s="2" t="n">
        <v>166</v>
      </c>
      <c r="B177" s="12">
        <f>MAX(0,'Deal Analyzer'!$B$4*(1+NORM.INV(RAND(),0,$J$4)))</f>
        <v/>
      </c>
      <c r="C177" s="12">
        <f>'Deal Analyzer'!$B$5*MAX(0.9,1+NORM.INV(RAND(),$J$5,$J$6))</f>
        <v/>
      </c>
      <c r="D177" s="12">
        <f>'Deal Analyzer'!$B$24+C177+B177*'Deal Analyzer'!$B$11</f>
        <v/>
      </c>
      <c r="E177" s="15">
        <f>IF(B177=0,0,(B177-D177)/B177)</f>
        <v/>
      </c>
      <c r="F177" s="2">
        <f>E177&gt;='Deal Analyzer'!$B$12</f>
        <v/>
      </c>
      <c r="G177" s="12">
        <f>IF(AND(F177,RAND()&lt;$J$7),'Deal Analyzer'!$B$8-'Deal Analyzer'!$B$10,-('Deal Analyzer'!$B$10+'Deal Analyzer'!$B$9*'Deal Analyzer'!$B$14))</f>
        <v/>
      </c>
      <c r="H177" s="2" t="n"/>
      <c r="I177" s="2" t="n"/>
      <c r="J177" s="2" t="n"/>
      <c r="K177" s="2" t="n"/>
    </row>
    <row r="178">
      <c r="A178" s="2" t="n">
        <v>167</v>
      </c>
      <c r="B178" s="12">
        <f>MAX(0,'Deal Analyzer'!$B$4*(1+NORM.INV(RAND(),0,$J$4)))</f>
        <v/>
      </c>
      <c r="C178" s="12">
        <f>'Deal Analyzer'!$B$5*MAX(0.9,1+NORM.INV(RAND(),$J$5,$J$6))</f>
        <v/>
      </c>
      <c r="D178" s="12">
        <f>'Deal Analyzer'!$B$24+C178+B178*'Deal Analyzer'!$B$11</f>
        <v/>
      </c>
      <c r="E178" s="15">
        <f>IF(B178=0,0,(B178-D178)/B178)</f>
        <v/>
      </c>
      <c r="F178" s="2">
        <f>E178&gt;='Deal Analyzer'!$B$12</f>
        <v/>
      </c>
      <c r="G178" s="12">
        <f>IF(AND(F178,RAND()&lt;$J$7),'Deal Analyzer'!$B$8-'Deal Analyzer'!$B$10,-('Deal Analyzer'!$B$10+'Deal Analyzer'!$B$9*'Deal Analyzer'!$B$14))</f>
        <v/>
      </c>
      <c r="H178" s="2" t="n"/>
      <c r="I178" s="2" t="n"/>
      <c r="J178" s="2" t="n"/>
      <c r="K178" s="2" t="n"/>
    </row>
    <row r="179">
      <c r="A179" s="2" t="n">
        <v>168</v>
      </c>
      <c r="B179" s="12">
        <f>MAX(0,'Deal Analyzer'!$B$4*(1+NORM.INV(RAND(),0,$J$4)))</f>
        <v/>
      </c>
      <c r="C179" s="12">
        <f>'Deal Analyzer'!$B$5*MAX(0.9,1+NORM.INV(RAND(),$J$5,$J$6))</f>
        <v/>
      </c>
      <c r="D179" s="12">
        <f>'Deal Analyzer'!$B$24+C179+B179*'Deal Analyzer'!$B$11</f>
        <v/>
      </c>
      <c r="E179" s="15">
        <f>IF(B179=0,0,(B179-D179)/B179)</f>
        <v/>
      </c>
      <c r="F179" s="2">
        <f>E179&gt;='Deal Analyzer'!$B$12</f>
        <v/>
      </c>
      <c r="G179" s="12">
        <f>IF(AND(F179,RAND()&lt;$J$7),'Deal Analyzer'!$B$8-'Deal Analyzer'!$B$10,-('Deal Analyzer'!$B$10+'Deal Analyzer'!$B$9*'Deal Analyzer'!$B$14))</f>
        <v/>
      </c>
      <c r="H179" s="2" t="n"/>
      <c r="I179" s="2" t="n"/>
      <c r="J179" s="2" t="n"/>
      <c r="K179" s="2" t="n"/>
    </row>
    <row r="180">
      <c r="A180" s="2" t="n">
        <v>169</v>
      </c>
      <c r="B180" s="12">
        <f>MAX(0,'Deal Analyzer'!$B$4*(1+NORM.INV(RAND(),0,$J$4)))</f>
        <v/>
      </c>
      <c r="C180" s="12">
        <f>'Deal Analyzer'!$B$5*MAX(0.9,1+NORM.INV(RAND(),$J$5,$J$6))</f>
        <v/>
      </c>
      <c r="D180" s="12">
        <f>'Deal Analyzer'!$B$24+C180+B180*'Deal Analyzer'!$B$11</f>
        <v/>
      </c>
      <c r="E180" s="15">
        <f>IF(B180=0,0,(B180-D180)/B180)</f>
        <v/>
      </c>
      <c r="F180" s="2">
        <f>E180&gt;='Deal Analyzer'!$B$12</f>
        <v/>
      </c>
      <c r="G180" s="12">
        <f>IF(AND(F180,RAND()&lt;$J$7),'Deal Analyzer'!$B$8-'Deal Analyzer'!$B$10,-('Deal Analyzer'!$B$10+'Deal Analyzer'!$B$9*'Deal Analyzer'!$B$14))</f>
        <v/>
      </c>
      <c r="H180" s="2" t="n"/>
      <c r="I180" s="2" t="n"/>
      <c r="J180" s="2" t="n"/>
      <c r="K180" s="2" t="n"/>
    </row>
    <row r="181">
      <c r="A181" s="2" t="n">
        <v>170</v>
      </c>
      <c r="B181" s="12">
        <f>MAX(0,'Deal Analyzer'!$B$4*(1+NORM.INV(RAND(),0,$J$4)))</f>
        <v/>
      </c>
      <c r="C181" s="12">
        <f>'Deal Analyzer'!$B$5*MAX(0.9,1+NORM.INV(RAND(),$J$5,$J$6))</f>
        <v/>
      </c>
      <c r="D181" s="12">
        <f>'Deal Analyzer'!$B$24+C181+B181*'Deal Analyzer'!$B$11</f>
        <v/>
      </c>
      <c r="E181" s="15">
        <f>IF(B181=0,0,(B181-D181)/B181)</f>
        <v/>
      </c>
      <c r="F181" s="2">
        <f>E181&gt;='Deal Analyzer'!$B$12</f>
        <v/>
      </c>
      <c r="G181" s="12">
        <f>IF(AND(F181,RAND()&lt;$J$7),'Deal Analyzer'!$B$8-'Deal Analyzer'!$B$10,-('Deal Analyzer'!$B$10+'Deal Analyzer'!$B$9*'Deal Analyzer'!$B$14))</f>
        <v/>
      </c>
      <c r="H181" s="2" t="n"/>
      <c r="I181" s="2" t="n"/>
      <c r="J181" s="2" t="n"/>
      <c r="K181" s="2" t="n"/>
    </row>
    <row r="182">
      <c r="A182" s="2" t="n">
        <v>171</v>
      </c>
      <c r="B182" s="12">
        <f>MAX(0,'Deal Analyzer'!$B$4*(1+NORM.INV(RAND(),0,$J$4)))</f>
        <v/>
      </c>
      <c r="C182" s="12">
        <f>'Deal Analyzer'!$B$5*MAX(0.9,1+NORM.INV(RAND(),$J$5,$J$6))</f>
        <v/>
      </c>
      <c r="D182" s="12">
        <f>'Deal Analyzer'!$B$24+C182+B182*'Deal Analyzer'!$B$11</f>
        <v/>
      </c>
      <c r="E182" s="15">
        <f>IF(B182=0,0,(B182-D182)/B182)</f>
        <v/>
      </c>
      <c r="F182" s="2">
        <f>E182&gt;='Deal Analyzer'!$B$12</f>
        <v/>
      </c>
      <c r="G182" s="12">
        <f>IF(AND(F182,RAND()&lt;$J$7),'Deal Analyzer'!$B$8-'Deal Analyzer'!$B$10,-('Deal Analyzer'!$B$10+'Deal Analyzer'!$B$9*'Deal Analyzer'!$B$14))</f>
        <v/>
      </c>
      <c r="H182" s="2" t="n"/>
      <c r="I182" s="2" t="n"/>
      <c r="J182" s="2" t="n"/>
      <c r="K182" s="2" t="n"/>
    </row>
    <row r="183">
      <c r="A183" s="2" t="n">
        <v>172</v>
      </c>
      <c r="B183" s="12">
        <f>MAX(0,'Deal Analyzer'!$B$4*(1+NORM.INV(RAND(),0,$J$4)))</f>
        <v/>
      </c>
      <c r="C183" s="12">
        <f>'Deal Analyzer'!$B$5*MAX(0.9,1+NORM.INV(RAND(),$J$5,$J$6))</f>
        <v/>
      </c>
      <c r="D183" s="12">
        <f>'Deal Analyzer'!$B$24+C183+B183*'Deal Analyzer'!$B$11</f>
        <v/>
      </c>
      <c r="E183" s="15">
        <f>IF(B183=0,0,(B183-D183)/B183)</f>
        <v/>
      </c>
      <c r="F183" s="2">
        <f>E183&gt;='Deal Analyzer'!$B$12</f>
        <v/>
      </c>
      <c r="G183" s="12">
        <f>IF(AND(F183,RAND()&lt;$J$7),'Deal Analyzer'!$B$8-'Deal Analyzer'!$B$10,-('Deal Analyzer'!$B$10+'Deal Analyzer'!$B$9*'Deal Analyzer'!$B$14))</f>
        <v/>
      </c>
      <c r="H183" s="2" t="n"/>
      <c r="I183" s="2" t="n"/>
      <c r="J183" s="2" t="n"/>
      <c r="K183" s="2" t="n"/>
    </row>
    <row r="184">
      <c r="A184" s="2" t="n">
        <v>173</v>
      </c>
      <c r="B184" s="12">
        <f>MAX(0,'Deal Analyzer'!$B$4*(1+NORM.INV(RAND(),0,$J$4)))</f>
        <v/>
      </c>
      <c r="C184" s="12">
        <f>'Deal Analyzer'!$B$5*MAX(0.9,1+NORM.INV(RAND(),$J$5,$J$6))</f>
        <v/>
      </c>
      <c r="D184" s="12">
        <f>'Deal Analyzer'!$B$24+C184+B184*'Deal Analyzer'!$B$11</f>
        <v/>
      </c>
      <c r="E184" s="15">
        <f>IF(B184=0,0,(B184-D184)/B184)</f>
        <v/>
      </c>
      <c r="F184" s="2">
        <f>E184&gt;='Deal Analyzer'!$B$12</f>
        <v/>
      </c>
      <c r="G184" s="12">
        <f>IF(AND(F184,RAND()&lt;$J$7),'Deal Analyzer'!$B$8-'Deal Analyzer'!$B$10,-('Deal Analyzer'!$B$10+'Deal Analyzer'!$B$9*'Deal Analyzer'!$B$14))</f>
        <v/>
      </c>
      <c r="H184" s="2" t="n"/>
      <c r="I184" s="2" t="n"/>
      <c r="J184" s="2" t="n"/>
      <c r="K184" s="2" t="n"/>
    </row>
    <row r="185">
      <c r="A185" s="2" t="n">
        <v>174</v>
      </c>
      <c r="B185" s="12">
        <f>MAX(0,'Deal Analyzer'!$B$4*(1+NORM.INV(RAND(),0,$J$4)))</f>
        <v/>
      </c>
      <c r="C185" s="12">
        <f>'Deal Analyzer'!$B$5*MAX(0.9,1+NORM.INV(RAND(),$J$5,$J$6))</f>
        <v/>
      </c>
      <c r="D185" s="12">
        <f>'Deal Analyzer'!$B$24+C185+B185*'Deal Analyzer'!$B$11</f>
        <v/>
      </c>
      <c r="E185" s="15">
        <f>IF(B185=0,0,(B185-D185)/B185)</f>
        <v/>
      </c>
      <c r="F185" s="2">
        <f>E185&gt;='Deal Analyzer'!$B$12</f>
        <v/>
      </c>
      <c r="G185" s="12">
        <f>IF(AND(F185,RAND()&lt;$J$7),'Deal Analyzer'!$B$8-'Deal Analyzer'!$B$10,-('Deal Analyzer'!$B$10+'Deal Analyzer'!$B$9*'Deal Analyzer'!$B$14))</f>
        <v/>
      </c>
      <c r="H185" s="2" t="n"/>
      <c r="I185" s="2" t="n"/>
      <c r="J185" s="2" t="n"/>
      <c r="K185" s="2" t="n"/>
    </row>
    <row r="186">
      <c r="A186" s="2" t="n">
        <v>175</v>
      </c>
      <c r="B186" s="12">
        <f>MAX(0,'Deal Analyzer'!$B$4*(1+NORM.INV(RAND(),0,$J$4)))</f>
        <v/>
      </c>
      <c r="C186" s="12">
        <f>'Deal Analyzer'!$B$5*MAX(0.9,1+NORM.INV(RAND(),$J$5,$J$6))</f>
        <v/>
      </c>
      <c r="D186" s="12">
        <f>'Deal Analyzer'!$B$24+C186+B186*'Deal Analyzer'!$B$11</f>
        <v/>
      </c>
      <c r="E186" s="15">
        <f>IF(B186=0,0,(B186-D186)/B186)</f>
        <v/>
      </c>
      <c r="F186" s="2">
        <f>E186&gt;='Deal Analyzer'!$B$12</f>
        <v/>
      </c>
      <c r="G186" s="12">
        <f>IF(AND(F186,RAND()&lt;$J$7),'Deal Analyzer'!$B$8-'Deal Analyzer'!$B$10,-('Deal Analyzer'!$B$10+'Deal Analyzer'!$B$9*'Deal Analyzer'!$B$14))</f>
        <v/>
      </c>
      <c r="H186" s="2" t="n"/>
      <c r="I186" s="2" t="n"/>
      <c r="J186" s="2" t="n"/>
      <c r="K186" s="2" t="n"/>
    </row>
    <row r="187">
      <c r="A187" s="2" t="n">
        <v>176</v>
      </c>
      <c r="B187" s="12">
        <f>MAX(0,'Deal Analyzer'!$B$4*(1+NORM.INV(RAND(),0,$J$4)))</f>
        <v/>
      </c>
      <c r="C187" s="12">
        <f>'Deal Analyzer'!$B$5*MAX(0.9,1+NORM.INV(RAND(),$J$5,$J$6))</f>
        <v/>
      </c>
      <c r="D187" s="12">
        <f>'Deal Analyzer'!$B$24+C187+B187*'Deal Analyzer'!$B$11</f>
        <v/>
      </c>
      <c r="E187" s="15">
        <f>IF(B187=0,0,(B187-D187)/B187)</f>
        <v/>
      </c>
      <c r="F187" s="2">
        <f>E187&gt;='Deal Analyzer'!$B$12</f>
        <v/>
      </c>
      <c r="G187" s="12">
        <f>IF(AND(F187,RAND()&lt;$J$7),'Deal Analyzer'!$B$8-'Deal Analyzer'!$B$10,-('Deal Analyzer'!$B$10+'Deal Analyzer'!$B$9*'Deal Analyzer'!$B$14))</f>
        <v/>
      </c>
      <c r="H187" s="2" t="n"/>
      <c r="I187" s="2" t="n"/>
      <c r="J187" s="2" t="n"/>
      <c r="K187" s="2" t="n"/>
    </row>
    <row r="188">
      <c r="A188" s="2" t="n">
        <v>177</v>
      </c>
      <c r="B188" s="12">
        <f>MAX(0,'Deal Analyzer'!$B$4*(1+NORM.INV(RAND(),0,$J$4)))</f>
        <v/>
      </c>
      <c r="C188" s="12">
        <f>'Deal Analyzer'!$B$5*MAX(0.9,1+NORM.INV(RAND(),$J$5,$J$6))</f>
        <v/>
      </c>
      <c r="D188" s="12">
        <f>'Deal Analyzer'!$B$24+C188+B188*'Deal Analyzer'!$B$11</f>
        <v/>
      </c>
      <c r="E188" s="15">
        <f>IF(B188=0,0,(B188-D188)/B188)</f>
        <v/>
      </c>
      <c r="F188" s="2">
        <f>E188&gt;='Deal Analyzer'!$B$12</f>
        <v/>
      </c>
      <c r="G188" s="12">
        <f>IF(AND(F188,RAND()&lt;$J$7),'Deal Analyzer'!$B$8-'Deal Analyzer'!$B$10,-('Deal Analyzer'!$B$10+'Deal Analyzer'!$B$9*'Deal Analyzer'!$B$14))</f>
        <v/>
      </c>
      <c r="H188" s="2" t="n"/>
      <c r="I188" s="2" t="n"/>
      <c r="J188" s="2" t="n"/>
      <c r="K188" s="2" t="n"/>
    </row>
    <row r="189">
      <c r="A189" s="2" t="n">
        <v>178</v>
      </c>
      <c r="B189" s="12">
        <f>MAX(0,'Deal Analyzer'!$B$4*(1+NORM.INV(RAND(),0,$J$4)))</f>
        <v/>
      </c>
      <c r="C189" s="12">
        <f>'Deal Analyzer'!$B$5*MAX(0.9,1+NORM.INV(RAND(),$J$5,$J$6))</f>
        <v/>
      </c>
      <c r="D189" s="12">
        <f>'Deal Analyzer'!$B$24+C189+B189*'Deal Analyzer'!$B$11</f>
        <v/>
      </c>
      <c r="E189" s="15">
        <f>IF(B189=0,0,(B189-D189)/B189)</f>
        <v/>
      </c>
      <c r="F189" s="2">
        <f>E189&gt;='Deal Analyzer'!$B$12</f>
        <v/>
      </c>
      <c r="G189" s="12">
        <f>IF(AND(F189,RAND()&lt;$J$7),'Deal Analyzer'!$B$8-'Deal Analyzer'!$B$10,-('Deal Analyzer'!$B$10+'Deal Analyzer'!$B$9*'Deal Analyzer'!$B$14))</f>
        <v/>
      </c>
      <c r="H189" s="2" t="n"/>
      <c r="I189" s="2" t="n"/>
      <c r="J189" s="2" t="n"/>
      <c r="K189" s="2" t="n"/>
    </row>
    <row r="190">
      <c r="A190" s="2" t="n">
        <v>179</v>
      </c>
      <c r="B190" s="12">
        <f>MAX(0,'Deal Analyzer'!$B$4*(1+NORM.INV(RAND(),0,$J$4)))</f>
        <v/>
      </c>
      <c r="C190" s="12">
        <f>'Deal Analyzer'!$B$5*MAX(0.9,1+NORM.INV(RAND(),$J$5,$J$6))</f>
        <v/>
      </c>
      <c r="D190" s="12">
        <f>'Deal Analyzer'!$B$24+C190+B190*'Deal Analyzer'!$B$11</f>
        <v/>
      </c>
      <c r="E190" s="15">
        <f>IF(B190=0,0,(B190-D190)/B190)</f>
        <v/>
      </c>
      <c r="F190" s="2">
        <f>E190&gt;='Deal Analyzer'!$B$12</f>
        <v/>
      </c>
      <c r="G190" s="12">
        <f>IF(AND(F190,RAND()&lt;$J$7),'Deal Analyzer'!$B$8-'Deal Analyzer'!$B$10,-('Deal Analyzer'!$B$10+'Deal Analyzer'!$B$9*'Deal Analyzer'!$B$14))</f>
        <v/>
      </c>
      <c r="H190" s="2" t="n"/>
      <c r="I190" s="2" t="n"/>
      <c r="J190" s="2" t="n"/>
      <c r="K190" s="2" t="n"/>
    </row>
    <row r="191">
      <c r="A191" s="2" t="n">
        <v>180</v>
      </c>
      <c r="B191" s="12">
        <f>MAX(0,'Deal Analyzer'!$B$4*(1+NORM.INV(RAND(),0,$J$4)))</f>
        <v/>
      </c>
      <c r="C191" s="12">
        <f>'Deal Analyzer'!$B$5*MAX(0.9,1+NORM.INV(RAND(),$J$5,$J$6))</f>
        <v/>
      </c>
      <c r="D191" s="12">
        <f>'Deal Analyzer'!$B$24+C191+B191*'Deal Analyzer'!$B$11</f>
        <v/>
      </c>
      <c r="E191" s="15">
        <f>IF(B191=0,0,(B191-D191)/B191)</f>
        <v/>
      </c>
      <c r="F191" s="2">
        <f>E191&gt;='Deal Analyzer'!$B$12</f>
        <v/>
      </c>
      <c r="G191" s="12">
        <f>IF(AND(F191,RAND()&lt;$J$7),'Deal Analyzer'!$B$8-'Deal Analyzer'!$B$10,-('Deal Analyzer'!$B$10+'Deal Analyzer'!$B$9*'Deal Analyzer'!$B$14))</f>
        <v/>
      </c>
      <c r="H191" s="2" t="n"/>
      <c r="I191" s="2" t="n"/>
      <c r="J191" s="2" t="n"/>
      <c r="K191" s="2" t="n"/>
    </row>
    <row r="192">
      <c r="A192" s="2" t="n">
        <v>181</v>
      </c>
      <c r="B192" s="12">
        <f>MAX(0,'Deal Analyzer'!$B$4*(1+NORM.INV(RAND(),0,$J$4)))</f>
        <v/>
      </c>
      <c r="C192" s="12">
        <f>'Deal Analyzer'!$B$5*MAX(0.9,1+NORM.INV(RAND(),$J$5,$J$6))</f>
        <v/>
      </c>
      <c r="D192" s="12">
        <f>'Deal Analyzer'!$B$24+C192+B192*'Deal Analyzer'!$B$11</f>
        <v/>
      </c>
      <c r="E192" s="15">
        <f>IF(B192=0,0,(B192-D192)/B192)</f>
        <v/>
      </c>
      <c r="F192" s="2">
        <f>E192&gt;='Deal Analyzer'!$B$12</f>
        <v/>
      </c>
      <c r="G192" s="12">
        <f>IF(AND(F192,RAND()&lt;$J$7),'Deal Analyzer'!$B$8-'Deal Analyzer'!$B$10,-('Deal Analyzer'!$B$10+'Deal Analyzer'!$B$9*'Deal Analyzer'!$B$14))</f>
        <v/>
      </c>
      <c r="H192" s="2" t="n"/>
      <c r="I192" s="2" t="n"/>
      <c r="J192" s="2" t="n"/>
      <c r="K192" s="2" t="n"/>
    </row>
    <row r="193">
      <c r="A193" s="2" t="n">
        <v>182</v>
      </c>
      <c r="B193" s="12">
        <f>MAX(0,'Deal Analyzer'!$B$4*(1+NORM.INV(RAND(),0,$J$4)))</f>
        <v/>
      </c>
      <c r="C193" s="12">
        <f>'Deal Analyzer'!$B$5*MAX(0.9,1+NORM.INV(RAND(),$J$5,$J$6))</f>
        <v/>
      </c>
      <c r="D193" s="12">
        <f>'Deal Analyzer'!$B$24+C193+B193*'Deal Analyzer'!$B$11</f>
        <v/>
      </c>
      <c r="E193" s="15">
        <f>IF(B193=0,0,(B193-D193)/B193)</f>
        <v/>
      </c>
      <c r="F193" s="2">
        <f>E193&gt;='Deal Analyzer'!$B$12</f>
        <v/>
      </c>
      <c r="G193" s="12">
        <f>IF(AND(F193,RAND()&lt;$J$7),'Deal Analyzer'!$B$8-'Deal Analyzer'!$B$10,-('Deal Analyzer'!$B$10+'Deal Analyzer'!$B$9*'Deal Analyzer'!$B$14))</f>
        <v/>
      </c>
      <c r="H193" s="2" t="n"/>
      <c r="I193" s="2" t="n"/>
      <c r="J193" s="2" t="n"/>
      <c r="K193" s="2" t="n"/>
    </row>
    <row r="194">
      <c r="A194" s="2" t="n">
        <v>183</v>
      </c>
      <c r="B194" s="12">
        <f>MAX(0,'Deal Analyzer'!$B$4*(1+NORM.INV(RAND(),0,$J$4)))</f>
        <v/>
      </c>
      <c r="C194" s="12">
        <f>'Deal Analyzer'!$B$5*MAX(0.9,1+NORM.INV(RAND(),$J$5,$J$6))</f>
        <v/>
      </c>
      <c r="D194" s="12">
        <f>'Deal Analyzer'!$B$24+C194+B194*'Deal Analyzer'!$B$11</f>
        <v/>
      </c>
      <c r="E194" s="15">
        <f>IF(B194=0,0,(B194-D194)/B194)</f>
        <v/>
      </c>
      <c r="F194" s="2">
        <f>E194&gt;='Deal Analyzer'!$B$12</f>
        <v/>
      </c>
      <c r="G194" s="12">
        <f>IF(AND(F194,RAND()&lt;$J$7),'Deal Analyzer'!$B$8-'Deal Analyzer'!$B$10,-('Deal Analyzer'!$B$10+'Deal Analyzer'!$B$9*'Deal Analyzer'!$B$14))</f>
        <v/>
      </c>
      <c r="H194" s="2" t="n"/>
      <c r="I194" s="2" t="n"/>
      <c r="J194" s="2" t="n"/>
      <c r="K194" s="2" t="n"/>
    </row>
    <row r="195">
      <c r="A195" s="2" t="n">
        <v>184</v>
      </c>
      <c r="B195" s="12">
        <f>MAX(0,'Deal Analyzer'!$B$4*(1+NORM.INV(RAND(),0,$J$4)))</f>
        <v/>
      </c>
      <c r="C195" s="12">
        <f>'Deal Analyzer'!$B$5*MAX(0.9,1+NORM.INV(RAND(),$J$5,$J$6))</f>
        <v/>
      </c>
      <c r="D195" s="12">
        <f>'Deal Analyzer'!$B$24+C195+B195*'Deal Analyzer'!$B$11</f>
        <v/>
      </c>
      <c r="E195" s="15">
        <f>IF(B195=0,0,(B195-D195)/B195)</f>
        <v/>
      </c>
      <c r="F195" s="2">
        <f>E195&gt;='Deal Analyzer'!$B$12</f>
        <v/>
      </c>
      <c r="G195" s="12">
        <f>IF(AND(F195,RAND()&lt;$J$7),'Deal Analyzer'!$B$8-'Deal Analyzer'!$B$10,-('Deal Analyzer'!$B$10+'Deal Analyzer'!$B$9*'Deal Analyzer'!$B$14))</f>
        <v/>
      </c>
      <c r="H195" s="2" t="n"/>
      <c r="I195" s="2" t="n"/>
      <c r="J195" s="2" t="n"/>
      <c r="K195" s="2" t="n"/>
    </row>
    <row r="196">
      <c r="A196" s="2" t="n">
        <v>185</v>
      </c>
      <c r="B196" s="12">
        <f>MAX(0,'Deal Analyzer'!$B$4*(1+NORM.INV(RAND(),0,$J$4)))</f>
        <v/>
      </c>
      <c r="C196" s="12">
        <f>'Deal Analyzer'!$B$5*MAX(0.9,1+NORM.INV(RAND(),$J$5,$J$6))</f>
        <v/>
      </c>
      <c r="D196" s="12">
        <f>'Deal Analyzer'!$B$24+C196+B196*'Deal Analyzer'!$B$11</f>
        <v/>
      </c>
      <c r="E196" s="15">
        <f>IF(B196=0,0,(B196-D196)/B196)</f>
        <v/>
      </c>
      <c r="F196" s="2">
        <f>E196&gt;='Deal Analyzer'!$B$12</f>
        <v/>
      </c>
      <c r="G196" s="12">
        <f>IF(AND(F196,RAND()&lt;$J$7),'Deal Analyzer'!$B$8-'Deal Analyzer'!$B$10,-('Deal Analyzer'!$B$10+'Deal Analyzer'!$B$9*'Deal Analyzer'!$B$14))</f>
        <v/>
      </c>
      <c r="H196" s="2" t="n"/>
      <c r="I196" s="2" t="n"/>
      <c r="J196" s="2" t="n"/>
      <c r="K196" s="2" t="n"/>
    </row>
    <row r="197">
      <c r="A197" s="2" t="n">
        <v>186</v>
      </c>
      <c r="B197" s="12">
        <f>MAX(0,'Deal Analyzer'!$B$4*(1+NORM.INV(RAND(),0,$J$4)))</f>
        <v/>
      </c>
      <c r="C197" s="12">
        <f>'Deal Analyzer'!$B$5*MAX(0.9,1+NORM.INV(RAND(),$J$5,$J$6))</f>
        <v/>
      </c>
      <c r="D197" s="12">
        <f>'Deal Analyzer'!$B$24+C197+B197*'Deal Analyzer'!$B$11</f>
        <v/>
      </c>
      <c r="E197" s="15">
        <f>IF(B197=0,0,(B197-D197)/B197)</f>
        <v/>
      </c>
      <c r="F197" s="2">
        <f>E197&gt;='Deal Analyzer'!$B$12</f>
        <v/>
      </c>
      <c r="G197" s="12">
        <f>IF(AND(F197,RAND()&lt;$J$7),'Deal Analyzer'!$B$8-'Deal Analyzer'!$B$10,-('Deal Analyzer'!$B$10+'Deal Analyzer'!$B$9*'Deal Analyzer'!$B$14))</f>
        <v/>
      </c>
      <c r="H197" s="2" t="n"/>
      <c r="I197" s="2" t="n"/>
      <c r="J197" s="2" t="n"/>
      <c r="K197" s="2" t="n"/>
    </row>
    <row r="198">
      <c r="A198" s="2" t="n">
        <v>187</v>
      </c>
      <c r="B198" s="12">
        <f>MAX(0,'Deal Analyzer'!$B$4*(1+NORM.INV(RAND(),0,$J$4)))</f>
        <v/>
      </c>
      <c r="C198" s="12">
        <f>'Deal Analyzer'!$B$5*MAX(0.9,1+NORM.INV(RAND(),$J$5,$J$6))</f>
        <v/>
      </c>
      <c r="D198" s="12">
        <f>'Deal Analyzer'!$B$24+C198+B198*'Deal Analyzer'!$B$11</f>
        <v/>
      </c>
      <c r="E198" s="15">
        <f>IF(B198=0,0,(B198-D198)/B198)</f>
        <v/>
      </c>
      <c r="F198" s="2">
        <f>E198&gt;='Deal Analyzer'!$B$12</f>
        <v/>
      </c>
      <c r="G198" s="12">
        <f>IF(AND(F198,RAND()&lt;$J$7),'Deal Analyzer'!$B$8-'Deal Analyzer'!$B$10,-('Deal Analyzer'!$B$10+'Deal Analyzer'!$B$9*'Deal Analyzer'!$B$14))</f>
        <v/>
      </c>
      <c r="H198" s="2" t="n"/>
      <c r="I198" s="2" t="n"/>
      <c r="J198" s="2" t="n"/>
      <c r="K198" s="2" t="n"/>
    </row>
    <row r="199">
      <c r="A199" s="2" t="n">
        <v>188</v>
      </c>
      <c r="B199" s="12">
        <f>MAX(0,'Deal Analyzer'!$B$4*(1+NORM.INV(RAND(),0,$J$4)))</f>
        <v/>
      </c>
      <c r="C199" s="12">
        <f>'Deal Analyzer'!$B$5*MAX(0.9,1+NORM.INV(RAND(),$J$5,$J$6))</f>
        <v/>
      </c>
      <c r="D199" s="12">
        <f>'Deal Analyzer'!$B$24+C199+B199*'Deal Analyzer'!$B$11</f>
        <v/>
      </c>
      <c r="E199" s="15">
        <f>IF(B199=0,0,(B199-D199)/B199)</f>
        <v/>
      </c>
      <c r="F199" s="2">
        <f>E199&gt;='Deal Analyzer'!$B$12</f>
        <v/>
      </c>
      <c r="G199" s="12">
        <f>IF(AND(F199,RAND()&lt;$J$7),'Deal Analyzer'!$B$8-'Deal Analyzer'!$B$10,-('Deal Analyzer'!$B$10+'Deal Analyzer'!$B$9*'Deal Analyzer'!$B$14))</f>
        <v/>
      </c>
      <c r="H199" s="2" t="n"/>
      <c r="I199" s="2" t="n"/>
      <c r="J199" s="2" t="n"/>
      <c r="K199" s="2" t="n"/>
    </row>
    <row r="200">
      <c r="A200" s="2" t="n">
        <v>189</v>
      </c>
      <c r="B200" s="12">
        <f>MAX(0,'Deal Analyzer'!$B$4*(1+NORM.INV(RAND(),0,$J$4)))</f>
        <v/>
      </c>
      <c r="C200" s="12">
        <f>'Deal Analyzer'!$B$5*MAX(0.9,1+NORM.INV(RAND(),$J$5,$J$6))</f>
        <v/>
      </c>
      <c r="D200" s="12">
        <f>'Deal Analyzer'!$B$24+C200+B200*'Deal Analyzer'!$B$11</f>
        <v/>
      </c>
      <c r="E200" s="15">
        <f>IF(B200=0,0,(B200-D200)/B200)</f>
        <v/>
      </c>
      <c r="F200" s="2">
        <f>E200&gt;='Deal Analyzer'!$B$12</f>
        <v/>
      </c>
      <c r="G200" s="12">
        <f>IF(AND(F200,RAND()&lt;$J$7),'Deal Analyzer'!$B$8-'Deal Analyzer'!$B$10,-('Deal Analyzer'!$B$10+'Deal Analyzer'!$B$9*'Deal Analyzer'!$B$14))</f>
        <v/>
      </c>
      <c r="H200" s="2" t="n"/>
      <c r="I200" s="2" t="n"/>
      <c r="J200" s="2" t="n"/>
      <c r="K200" s="2" t="n"/>
    </row>
    <row r="201">
      <c r="A201" s="2" t="n">
        <v>190</v>
      </c>
      <c r="B201" s="12">
        <f>MAX(0,'Deal Analyzer'!$B$4*(1+NORM.INV(RAND(),0,$J$4)))</f>
        <v/>
      </c>
      <c r="C201" s="12">
        <f>'Deal Analyzer'!$B$5*MAX(0.9,1+NORM.INV(RAND(),$J$5,$J$6))</f>
        <v/>
      </c>
      <c r="D201" s="12">
        <f>'Deal Analyzer'!$B$24+C201+B201*'Deal Analyzer'!$B$11</f>
        <v/>
      </c>
      <c r="E201" s="15">
        <f>IF(B201=0,0,(B201-D201)/B201)</f>
        <v/>
      </c>
      <c r="F201" s="2">
        <f>E201&gt;='Deal Analyzer'!$B$12</f>
        <v/>
      </c>
      <c r="G201" s="12">
        <f>IF(AND(F201,RAND()&lt;$J$7),'Deal Analyzer'!$B$8-'Deal Analyzer'!$B$10,-('Deal Analyzer'!$B$10+'Deal Analyzer'!$B$9*'Deal Analyzer'!$B$14))</f>
        <v/>
      </c>
      <c r="H201" s="2" t="n"/>
      <c r="I201" s="2" t="n"/>
      <c r="J201" s="2" t="n"/>
      <c r="K201" s="2" t="n"/>
    </row>
    <row r="202">
      <c r="A202" s="2" t="n">
        <v>191</v>
      </c>
      <c r="B202" s="12">
        <f>MAX(0,'Deal Analyzer'!$B$4*(1+NORM.INV(RAND(),0,$J$4)))</f>
        <v/>
      </c>
      <c r="C202" s="12">
        <f>'Deal Analyzer'!$B$5*MAX(0.9,1+NORM.INV(RAND(),$J$5,$J$6))</f>
        <v/>
      </c>
      <c r="D202" s="12">
        <f>'Deal Analyzer'!$B$24+C202+B202*'Deal Analyzer'!$B$11</f>
        <v/>
      </c>
      <c r="E202" s="15">
        <f>IF(B202=0,0,(B202-D202)/B202)</f>
        <v/>
      </c>
      <c r="F202" s="2">
        <f>E202&gt;='Deal Analyzer'!$B$12</f>
        <v/>
      </c>
      <c r="G202" s="12">
        <f>IF(AND(F202,RAND()&lt;$J$7),'Deal Analyzer'!$B$8-'Deal Analyzer'!$B$10,-('Deal Analyzer'!$B$10+'Deal Analyzer'!$B$9*'Deal Analyzer'!$B$14))</f>
        <v/>
      </c>
      <c r="H202" s="2" t="n"/>
      <c r="I202" s="2" t="n"/>
      <c r="J202" s="2" t="n"/>
      <c r="K202" s="2" t="n"/>
    </row>
    <row r="203">
      <c r="A203" s="2" t="n">
        <v>192</v>
      </c>
      <c r="B203" s="12">
        <f>MAX(0,'Deal Analyzer'!$B$4*(1+NORM.INV(RAND(),0,$J$4)))</f>
        <v/>
      </c>
      <c r="C203" s="12">
        <f>'Deal Analyzer'!$B$5*MAX(0.9,1+NORM.INV(RAND(),$J$5,$J$6))</f>
        <v/>
      </c>
      <c r="D203" s="12">
        <f>'Deal Analyzer'!$B$24+C203+B203*'Deal Analyzer'!$B$11</f>
        <v/>
      </c>
      <c r="E203" s="15">
        <f>IF(B203=0,0,(B203-D203)/B203)</f>
        <v/>
      </c>
      <c r="F203" s="2">
        <f>E203&gt;='Deal Analyzer'!$B$12</f>
        <v/>
      </c>
      <c r="G203" s="12">
        <f>IF(AND(F203,RAND()&lt;$J$7),'Deal Analyzer'!$B$8-'Deal Analyzer'!$B$10,-('Deal Analyzer'!$B$10+'Deal Analyzer'!$B$9*'Deal Analyzer'!$B$14))</f>
        <v/>
      </c>
      <c r="H203" s="2" t="n"/>
      <c r="I203" s="2" t="n"/>
      <c r="J203" s="2" t="n"/>
      <c r="K203" s="2" t="n"/>
    </row>
    <row r="204">
      <c r="A204" s="2" t="n">
        <v>193</v>
      </c>
      <c r="B204" s="12">
        <f>MAX(0,'Deal Analyzer'!$B$4*(1+NORM.INV(RAND(),0,$J$4)))</f>
        <v/>
      </c>
      <c r="C204" s="12">
        <f>'Deal Analyzer'!$B$5*MAX(0.9,1+NORM.INV(RAND(),$J$5,$J$6))</f>
        <v/>
      </c>
      <c r="D204" s="12">
        <f>'Deal Analyzer'!$B$24+C204+B204*'Deal Analyzer'!$B$11</f>
        <v/>
      </c>
      <c r="E204" s="15">
        <f>IF(B204=0,0,(B204-D204)/B204)</f>
        <v/>
      </c>
      <c r="F204" s="2">
        <f>E204&gt;='Deal Analyzer'!$B$12</f>
        <v/>
      </c>
      <c r="G204" s="12">
        <f>IF(AND(F204,RAND()&lt;$J$7),'Deal Analyzer'!$B$8-'Deal Analyzer'!$B$10,-('Deal Analyzer'!$B$10+'Deal Analyzer'!$B$9*'Deal Analyzer'!$B$14))</f>
        <v/>
      </c>
      <c r="H204" s="2" t="n"/>
      <c r="I204" s="2" t="n"/>
      <c r="J204" s="2" t="n"/>
      <c r="K204" s="2" t="n"/>
    </row>
    <row r="205">
      <c r="A205" s="2" t="n">
        <v>194</v>
      </c>
      <c r="B205" s="12">
        <f>MAX(0,'Deal Analyzer'!$B$4*(1+NORM.INV(RAND(),0,$J$4)))</f>
        <v/>
      </c>
      <c r="C205" s="12">
        <f>'Deal Analyzer'!$B$5*MAX(0.9,1+NORM.INV(RAND(),$J$5,$J$6))</f>
        <v/>
      </c>
      <c r="D205" s="12">
        <f>'Deal Analyzer'!$B$24+C205+B205*'Deal Analyzer'!$B$11</f>
        <v/>
      </c>
      <c r="E205" s="15">
        <f>IF(B205=0,0,(B205-D205)/B205)</f>
        <v/>
      </c>
      <c r="F205" s="2">
        <f>E205&gt;='Deal Analyzer'!$B$12</f>
        <v/>
      </c>
      <c r="G205" s="12">
        <f>IF(AND(F205,RAND()&lt;$J$7),'Deal Analyzer'!$B$8-'Deal Analyzer'!$B$10,-('Deal Analyzer'!$B$10+'Deal Analyzer'!$B$9*'Deal Analyzer'!$B$14))</f>
        <v/>
      </c>
      <c r="H205" s="2" t="n"/>
      <c r="I205" s="2" t="n"/>
      <c r="J205" s="2" t="n"/>
      <c r="K205" s="2" t="n"/>
    </row>
    <row r="206">
      <c r="A206" s="2" t="n">
        <v>195</v>
      </c>
      <c r="B206" s="12">
        <f>MAX(0,'Deal Analyzer'!$B$4*(1+NORM.INV(RAND(),0,$J$4)))</f>
        <v/>
      </c>
      <c r="C206" s="12">
        <f>'Deal Analyzer'!$B$5*MAX(0.9,1+NORM.INV(RAND(),$J$5,$J$6))</f>
        <v/>
      </c>
      <c r="D206" s="12">
        <f>'Deal Analyzer'!$B$24+C206+B206*'Deal Analyzer'!$B$11</f>
        <v/>
      </c>
      <c r="E206" s="15">
        <f>IF(B206=0,0,(B206-D206)/B206)</f>
        <v/>
      </c>
      <c r="F206" s="2">
        <f>E206&gt;='Deal Analyzer'!$B$12</f>
        <v/>
      </c>
      <c r="G206" s="12">
        <f>IF(AND(F206,RAND()&lt;$J$7),'Deal Analyzer'!$B$8-'Deal Analyzer'!$B$10,-('Deal Analyzer'!$B$10+'Deal Analyzer'!$B$9*'Deal Analyzer'!$B$14))</f>
        <v/>
      </c>
      <c r="H206" s="2" t="n"/>
      <c r="I206" s="2" t="n"/>
      <c r="J206" s="2" t="n"/>
      <c r="K206" s="2" t="n"/>
    </row>
    <row r="207">
      <c r="A207" s="2" t="n">
        <v>196</v>
      </c>
      <c r="B207" s="12">
        <f>MAX(0,'Deal Analyzer'!$B$4*(1+NORM.INV(RAND(),0,$J$4)))</f>
        <v/>
      </c>
      <c r="C207" s="12">
        <f>'Deal Analyzer'!$B$5*MAX(0.9,1+NORM.INV(RAND(),$J$5,$J$6))</f>
        <v/>
      </c>
      <c r="D207" s="12">
        <f>'Deal Analyzer'!$B$24+C207+B207*'Deal Analyzer'!$B$11</f>
        <v/>
      </c>
      <c r="E207" s="15">
        <f>IF(B207=0,0,(B207-D207)/B207)</f>
        <v/>
      </c>
      <c r="F207" s="2">
        <f>E207&gt;='Deal Analyzer'!$B$12</f>
        <v/>
      </c>
      <c r="G207" s="12">
        <f>IF(AND(F207,RAND()&lt;$J$7),'Deal Analyzer'!$B$8-'Deal Analyzer'!$B$10,-('Deal Analyzer'!$B$10+'Deal Analyzer'!$B$9*'Deal Analyzer'!$B$14))</f>
        <v/>
      </c>
      <c r="H207" s="2" t="n"/>
      <c r="I207" s="2" t="n"/>
      <c r="J207" s="2" t="n"/>
      <c r="K207" s="2" t="n"/>
    </row>
    <row r="208">
      <c r="A208" s="2" t="n">
        <v>197</v>
      </c>
      <c r="B208" s="12">
        <f>MAX(0,'Deal Analyzer'!$B$4*(1+NORM.INV(RAND(),0,$J$4)))</f>
        <v/>
      </c>
      <c r="C208" s="12">
        <f>'Deal Analyzer'!$B$5*MAX(0.9,1+NORM.INV(RAND(),$J$5,$J$6))</f>
        <v/>
      </c>
      <c r="D208" s="12">
        <f>'Deal Analyzer'!$B$24+C208+B208*'Deal Analyzer'!$B$11</f>
        <v/>
      </c>
      <c r="E208" s="15">
        <f>IF(B208=0,0,(B208-D208)/B208)</f>
        <v/>
      </c>
      <c r="F208" s="2">
        <f>E208&gt;='Deal Analyzer'!$B$12</f>
        <v/>
      </c>
      <c r="G208" s="12">
        <f>IF(AND(F208,RAND()&lt;$J$7),'Deal Analyzer'!$B$8-'Deal Analyzer'!$B$10,-('Deal Analyzer'!$B$10+'Deal Analyzer'!$B$9*'Deal Analyzer'!$B$14))</f>
        <v/>
      </c>
      <c r="H208" s="2" t="n"/>
      <c r="I208" s="2" t="n"/>
      <c r="J208" s="2" t="n"/>
      <c r="K208" s="2" t="n"/>
    </row>
    <row r="209">
      <c r="A209" s="2" t="n">
        <v>198</v>
      </c>
      <c r="B209" s="12">
        <f>MAX(0,'Deal Analyzer'!$B$4*(1+NORM.INV(RAND(),0,$J$4)))</f>
        <v/>
      </c>
      <c r="C209" s="12">
        <f>'Deal Analyzer'!$B$5*MAX(0.9,1+NORM.INV(RAND(),$J$5,$J$6))</f>
        <v/>
      </c>
      <c r="D209" s="12">
        <f>'Deal Analyzer'!$B$24+C209+B209*'Deal Analyzer'!$B$11</f>
        <v/>
      </c>
      <c r="E209" s="15">
        <f>IF(B209=0,0,(B209-D209)/B209)</f>
        <v/>
      </c>
      <c r="F209" s="2">
        <f>E209&gt;='Deal Analyzer'!$B$12</f>
        <v/>
      </c>
      <c r="G209" s="12">
        <f>IF(AND(F209,RAND()&lt;$J$7),'Deal Analyzer'!$B$8-'Deal Analyzer'!$B$10,-('Deal Analyzer'!$B$10+'Deal Analyzer'!$B$9*'Deal Analyzer'!$B$14))</f>
        <v/>
      </c>
      <c r="H209" s="2" t="n"/>
      <c r="I209" s="2" t="n"/>
      <c r="J209" s="2" t="n"/>
      <c r="K209" s="2" t="n"/>
    </row>
    <row r="210">
      <c r="A210" s="2" t="n">
        <v>199</v>
      </c>
      <c r="B210" s="12">
        <f>MAX(0,'Deal Analyzer'!$B$4*(1+NORM.INV(RAND(),0,$J$4)))</f>
        <v/>
      </c>
      <c r="C210" s="12">
        <f>'Deal Analyzer'!$B$5*MAX(0.9,1+NORM.INV(RAND(),$J$5,$J$6))</f>
        <v/>
      </c>
      <c r="D210" s="12">
        <f>'Deal Analyzer'!$B$24+C210+B210*'Deal Analyzer'!$B$11</f>
        <v/>
      </c>
      <c r="E210" s="15">
        <f>IF(B210=0,0,(B210-D210)/B210)</f>
        <v/>
      </c>
      <c r="F210" s="2">
        <f>E210&gt;='Deal Analyzer'!$B$12</f>
        <v/>
      </c>
      <c r="G210" s="12">
        <f>IF(AND(F210,RAND()&lt;$J$7),'Deal Analyzer'!$B$8-'Deal Analyzer'!$B$10,-('Deal Analyzer'!$B$10+'Deal Analyzer'!$B$9*'Deal Analyzer'!$B$14))</f>
        <v/>
      </c>
      <c r="H210" s="2" t="n"/>
      <c r="I210" s="2" t="n"/>
      <c r="J210" s="2" t="n"/>
      <c r="K210" s="2" t="n"/>
    </row>
    <row r="211">
      <c r="A211" s="2" t="n">
        <v>200</v>
      </c>
      <c r="B211" s="12">
        <f>MAX(0,'Deal Analyzer'!$B$4*(1+NORM.INV(RAND(),0,$J$4)))</f>
        <v/>
      </c>
      <c r="C211" s="12">
        <f>'Deal Analyzer'!$B$5*MAX(0.9,1+NORM.INV(RAND(),$J$5,$J$6))</f>
        <v/>
      </c>
      <c r="D211" s="12">
        <f>'Deal Analyzer'!$B$24+C211+B211*'Deal Analyzer'!$B$11</f>
        <v/>
      </c>
      <c r="E211" s="15">
        <f>IF(B211=0,0,(B211-D211)/B211)</f>
        <v/>
      </c>
      <c r="F211" s="2">
        <f>E211&gt;='Deal Analyzer'!$B$12</f>
        <v/>
      </c>
      <c r="G211" s="12">
        <f>IF(AND(F211,RAND()&lt;$J$7),'Deal Analyzer'!$B$8-'Deal Analyzer'!$B$10,-('Deal Analyzer'!$B$10+'Deal Analyzer'!$B$9*'Deal Analyzer'!$B$14))</f>
        <v/>
      </c>
      <c r="H211" s="2" t="n"/>
      <c r="I211" s="2" t="n"/>
      <c r="J211" s="2" t="n"/>
      <c r="K211" s="2" t="n"/>
    </row>
    <row r="212">
      <c r="A212" s="2" t="n">
        <v>201</v>
      </c>
      <c r="B212" s="12">
        <f>MAX(0,'Deal Analyzer'!$B$4*(1+NORM.INV(RAND(),0,$J$4)))</f>
        <v/>
      </c>
      <c r="C212" s="12">
        <f>'Deal Analyzer'!$B$5*MAX(0.9,1+NORM.INV(RAND(),$J$5,$J$6))</f>
        <v/>
      </c>
      <c r="D212" s="12">
        <f>'Deal Analyzer'!$B$24+C212+B212*'Deal Analyzer'!$B$11</f>
        <v/>
      </c>
      <c r="E212" s="15">
        <f>IF(B212=0,0,(B212-D212)/B212)</f>
        <v/>
      </c>
      <c r="F212" s="2">
        <f>E212&gt;='Deal Analyzer'!$B$12</f>
        <v/>
      </c>
      <c r="G212" s="12">
        <f>IF(AND(F212,RAND()&lt;$J$7),'Deal Analyzer'!$B$8-'Deal Analyzer'!$B$10,-('Deal Analyzer'!$B$10+'Deal Analyzer'!$B$9*'Deal Analyzer'!$B$14))</f>
        <v/>
      </c>
      <c r="H212" s="2" t="n"/>
      <c r="I212" s="2" t="n"/>
      <c r="J212" s="2" t="n"/>
      <c r="K212" s="2" t="n"/>
    </row>
    <row r="213">
      <c r="A213" s="2" t="n">
        <v>202</v>
      </c>
      <c r="B213" s="12">
        <f>MAX(0,'Deal Analyzer'!$B$4*(1+NORM.INV(RAND(),0,$J$4)))</f>
        <v/>
      </c>
      <c r="C213" s="12">
        <f>'Deal Analyzer'!$B$5*MAX(0.9,1+NORM.INV(RAND(),$J$5,$J$6))</f>
        <v/>
      </c>
      <c r="D213" s="12">
        <f>'Deal Analyzer'!$B$24+C213+B213*'Deal Analyzer'!$B$11</f>
        <v/>
      </c>
      <c r="E213" s="15">
        <f>IF(B213=0,0,(B213-D213)/B213)</f>
        <v/>
      </c>
      <c r="F213" s="2">
        <f>E213&gt;='Deal Analyzer'!$B$12</f>
        <v/>
      </c>
      <c r="G213" s="12">
        <f>IF(AND(F213,RAND()&lt;$J$7),'Deal Analyzer'!$B$8-'Deal Analyzer'!$B$10,-('Deal Analyzer'!$B$10+'Deal Analyzer'!$B$9*'Deal Analyzer'!$B$14))</f>
        <v/>
      </c>
      <c r="H213" s="2" t="n"/>
      <c r="I213" s="2" t="n"/>
      <c r="J213" s="2" t="n"/>
      <c r="K213" s="2" t="n"/>
    </row>
    <row r="214">
      <c r="A214" s="2" t="n">
        <v>203</v>
      </c>
      <c r="B214" s="12">
        <f>MAX(0,'Deal Analyzer'!$B$4*(1+NORM.INV(RAND(),0,$J$4)))</f>
        <v/>
      </c>
      <c r="C214" s="12">
        <f>'Deal Analyzer'!$B$5*MAX(0.9,1+NORM.INV(RAND(),$J$5,$J$6))</f>
        <v/>
      </c>
      <c r="D214" s="12">
        <f>'Deal Analyzer'!$B$24+C214+B214*'Deal Analyzer'!$B$11</f>
        <v/>
      </c>
      <c r="E214" s="15">
        <f>IF(B214=0,0,(B214-D214)/B214)</f>
        <v/>
      </c>
      <c r="F214" s="2">
        <f>E214&gt;='Deal Analyzer'!$B$12</f>
        <v/>
      </c>
      <c r="G214" s="12">
        <f>IF(AND(F214,RAND()&lt;$J$7),'Deal Analyzer'!$B$8-'Deal Analyzer'!$B$10,-('Deal Analyzer'!$B$10+'Deal Analyzer'!$B$9*'Deal Analyzer'!$B$14))</f>
        <v/>
      </c>
      <c r="H214" s="2" t="n"/>
      <c r="I214" s="2" t="n"/>
      <c r="J214" s="2" t="n"/>
      <c r="K214" s="2" t="n"/>
    </row>
    <row r="215">
      <c r="A215" s="2" t="n">
        <v>204</v>
      </c>
      <c r="B215" s="12">
        <f>MAX(0,'Deal Analyzer'!$B$4*(1+NORM.INV(RAND(),0,$J$4)))</f>
        <v/>
      </c>
      <c r="C215" s="12">
        <f>'Deal Analyzer'!$B$5*MAX(0.9,1+NORM.INV(RAND(),$J$5,$J$6))</f>
        <v/>
      </c>
      <c r="D215" s="12">
        <f>'Deal Analyzer'!$B$24+C215+B215*'Deal Analyzer'!$B$11</f>
        <v/>
      </c>
      <c r="E215" s="15">
        <f>IF(B215=0,0,(B215-D215)/B215)</f>
        <v/>
      </c>
      <c r="F215" s="2">
        <f>E215&gt;='Deal Analyzer'!$B$12</f>
        <v/>
      </c>
      <c r="G215" s="12">
        <f>IF(AND(F215,RAND()&lt;$J$7),'Deal Analyzer'!$B$8-'Deal Analyzer'!$B$10,-('Deal Analyzer'!$B$10+'Deal Analyzer'!$B$9*'Deal Analyzer'!$B$14))</f>
        <v/>
      </c>
      <c r="H215" s="2" t="n"/>
      <c r="I215" s="2" t="n"/>
      <c r="J215" s="2" t="n"/>
      <c r="K215" s="2" t="n"/>
    </row>
    <row r="216">
      <c r="A216" s="2" t="n">
        <v>205</v>
      </c>
      <c r="B216" s="12">
        <f>MAX(0,'Deal Analyzer'!$B$4*(1+NORM.INV(RAND(),0,$J$4)))</f>
        <v/>
      </c>
      <c r="C216" s="12">
        <f>'Deal Analyzer'!$B$5*MAX(0.9,1+NORM.INV(RAND(),$J$5,$J$6))</f>
        <v/>
      </c>
      <c r="D216" s="12">
        <f>'Deal Analyzer'!$B$24+C216+B216*'Deal Analyzer'!$B$11</f>
        <v/>
      </c>
      <c r="E216" s="15">
        <f>IF(B216=0,0,(B216-D216)/B216)</f>
        <v/>
      </c>
      <c r="F216" s="2">
        <f>E216&gt;='Deal Analyzer'!$B$12</f>
        <v/>
      </c>
      <c r="G216" s="12">
        <f>IF(AND(F216,RAND()&lt;$J$7),'Deal Analyzer'!$B$8-'Deal Analyzer'!$B$10,-('Deal Analyzer'!$B$10+'Deal Analyzer'!$B$9*'Deal Analyzer'!$B$14))</f>
        <v/>
      </c>
      <c r="H216" s="2" t="n"/>
      <c r="I216" s="2" t="n"/>
      <c r="J216" s="2" t="n"/>
      <c r="K216" s="2" t="n"/>
    </row>
    <row r="217">
      <c r="A217" s="2" t="n">
        <v>206</v>
      </c>
      <c r="B217" s="12">
        <f>MAX(0,'Deal Analyzer'!$B$4*(1+NORM.INV(RAND(),0,$J$4)))</f>
        <v/>
      </c>
      <c r="C217" s="12">
        <f>'Deal Analyzer'!$B$5*MAX(0.9,1+NORM.INV(RAND(),$J$5,$J$6))</f>
        <v/>
      </c>
      <c r="D217" s="12">
        <f>'Deal Analyzer'!$B$24+C217+B217*'Deal Analyzer'!$B$11</f>
        <v/>
      </c>
      <c r="E217" s="15">
        <f>IF(B217=0,0,(B217-D217)/B217)</f>
        <v/>
      </c>
      <c r="F217" s="2">
        <f>E217&gt;='Deal Analyzer'!$B$12</f>
        <v/>
      </c>
      <c r="G217" s="12">
        <f>IF(AND(F217,RAND()&lt;$J$7),'Deal Analyzer'!$B$8-'Deal Analyzer'!$B$10,-('Deal Analyzer'!$B$10+'Deal Analyzer'!$B$9*'Deal Analyzer'!$B$14))</f>
        <v/>
      </c>
      <c r="H217" s="2" t="n"/>
      <c r="I217" s="2" t="n"/>
      <c r="J217" s="2" t="n"/>
      <c r="K217" s="2" t="n"/>
    </row>
    <row r="218">
      <c r="A218" s="2" t="n">
        <v>207</v>
      </c>
      <c r="B218" s="12">
        <f>MAX(0,'Deal Analyzer'!$B$4*(1+NORM.INV(RAND(),0,$J$4)))</f>
        <v/>
      </c>
      <c r="C218" s="12">
        <f>'Deal Analyzer'!$B$5*MAX(0.9,1+NORM.INV(RAND(),$J$5,$J$6))</f>
        <v/>
      </c>
      <c r="D218" s="12">
        <f>'Deal Analyzer'!$B$24+C218+B218*'Deal Analyzer'!$B$11</f>
        <v/>
      </c>
      <c r="E218" s="15">
        <f>IF(B218=0,0,(B218-D218)/B218)</f>
        <v/>
      </c>
      <c r="F218" s="2">
        <f>E218&gt;='Deal Analyzer'!$B$12</f>
        <v/>
      </c>
      <c r="G218" s="12">
        <f>IF(AND(F218,RAND()&lt;$J$7),'Deal Analyzer'!$B$8-'Deal Analyzer'!$B$10,-('Deal Analyzer'!$B$10+'Deal Analyzer'!$B$9*'Deal Analyzer'!$B$14))</f>
        <v/>
      </c>
      <c r="H218" s="2" t="n"/>
      <c r="I218" s="2" t="n"/>
      <c r="J218" s="2" t="n"/>
      <c r="K218" s="2" t="n"/>
    </row>
    <row r="219">
      <c r="A219" s="2" t="n">
        <v>208</v>
      </c>
      <c r="B219" s="12">
        <f>MAX(0,'Deal Analyzer'!$B$4*(1+NORM.INV(RAND(),0,$J$4)))</f>
        <v/>
      </c>
      <c r="C219" s="12">
        <f>'Deal Analyzer'!$B$5*MAX(0.9,1+NORM.INV(RAND(),$J$5,$J$6))</f>
        <v/>
      </c>
      <c r="D219" s="12">
        <f>'Deal Analyzer'!$B$24+C219+B219*'Deal Analyzer'!$B$11</f>
        <v/>
      </c>
      <c r="E219" s="15">
        <f>IF(B219=0,0,(B219-D219)/B219)</f>
        <v/>
      </c>
      <c r="F219" s="2">
        <f>E219&gt;='Deal Analyzer'!$B$12</f>
        <v/>
      </c>
      <c r="G219" s="12">
        <f>IF(AND(F219,RAND()&lt;$J$7),'Deal Analyzer'!$B$8-'Deal Analyzer'!$B$10,-('Deal Analyzer'!$B$10+'Deal Analyzer'!$B$9*'Deal Analyzer'!$B$14))</f>
        <v/>
      </c>
      <c r="H219" s="2" t="n"/>
      <c r="I219" s="2" t="n"/>
      <c r="J219" s="2" t="n"/>
      <c r="K219" s="2" t="n"/>
    </row>
    <row r="220">
      <c r="A220" s="2" t="n">
        <v>209</v>
      </c>
      <c r="B220" s="12">
        <f>MAX(0,'Deal Analyzer'!$B$4*(1+NORM.INV(RAND(),0,$J$4)))</f>
        <v/>
      </c>
      <c r="C220" s="12">
        <f>'Deal Analyzer'!$B$5*MAX(0.9,1+NORM.INV(RAND(),$J$5,$J$6))</f>
        <v/>
      </c>
      <c r="D220" s="12">
        <f>'Deal Analyzer'!$B$24+C220+B220*'Deal Analyzer'!$B$11</f>
        <v/>
      </c>
      <c r="E220" s="15">
        <f>IF(B220=0,0,(B220-D220)/B220)</f>
        <v/>
      </c>
      <c r="F220" s="2">
        <f>E220&gt;='Deal Analyzer'!$B$12</f>
        <v/>
      </c>
      <c r="G220" s="12">
        <f>IF(AND(F220,RAND()&lt;$J$7),'Deal Analyzer'!$B$8-'Deal Analyzer'!$B$10,-('Deal Analyzer'!$B$10+'Deal Analyzer'!$B$9*'Deal Analyzer'!$B$14))</f>
        <v/>
      </c>
      <c r="H220" s="2" t="n"/>
      <c r="I220" s="2" t="n"/>
      <c r="J220" s="2" t="n"/>
      <c r="K220" s="2" t="n"/>
    </row>
    <row r="221">
      <c r="A221" s="2" t="n">
        <v>210</v>
      </c>
      <c r="B221" s="12">
        <f>MAX(0,'Deal Analyzer'!$B$4*(1+NORM.INV(RAND(),0,$J$4)))</f>
        <v/>
      </c>
      <c r="C221" s="12">
        <f>'Deal Analyzer'!$B$5*MAX(0.9,1+NORM.INV(RAND(),$J$5,$J$6))</f>
        <v/>
      </c>
      <c r="D221" s="12">
        <f>'Deal Analyzer'!$B$24+C221+B221*'Deal Analyzer'!$B$11</f>
        <v/>
      </c>
      <c r="E221" s="15">
        <f>IF(B221=0,0,(B221-D221)/B221)</f>
        <v/>
      </c>
      <c r="F221" s="2">
        <f>E221&gt;='Deal Analyzer'!$B$12</f>
        <v/>
      </c>
      <c r="G221" s="12">
        <f>IF(AND(F221,RAND()&lt;$J$7),'Deal Analyzer'!$B$8-'Deal Analyzer'!$B$10,-('Deal Analyzer'!$B$10+'Deal Analyzer'!$B$9*'Deal Analyzer'!$B$14))</f>
        <v/>
      </c>
      <c r="H221" s="2" t="n"/>
      <c r="I221" s="2" t="n"/>
      <c r="J221" s="2" t="n"/>
      <c r="K221" s="2" t="n"/>
    </row>
    <row r="222">
      <c r="A222" s="2" t="n">
        <v>211</v>
      </c>
      <c r="B222" s="12">
        <f>MAX(0,'Deal Analyzer'!$B$4*(1+NORM.INV(RAND(),0,$J$4)))</f>
        <v/>
      </c>
      <c r="C222" s="12">
        <f>'Deal Analyzer'!$B$5*MAX(0.9,1+NORM.INV(RAND(),$J$5,$J$6))</f>
        <v/>
      </c>
      <c r="D222" s="12">
        <f>'Deal Analyzer'!$B$24+C222+B222*'Deal Analyzer'!$B$11</f>
        <v/>
      </c>
      <c r="E222" s="15">
        <f>IF(B222=0,0,(B222-D222)/B222)</f>
        <v/>
      </c>
      <c r="F222" s="2">
        <f>E222&gt;='Deal Analyzer'!$B$12</f>
        <v/>
      </c>
      <c r="G222" s="12">
        <f>IF(AND(F222,RAND()&lt;$J$7),'Deal Analyzer'!$B$8-'Deal Analyzer'!$B$10,-('Deal Analyzer'!$B$10+'Deal Analyzer'!$B$9*'Deal Analyzer'!$B$14))</f>
        <v/>
      </c>
      <c r="H222" s="2" t="n"/>
      <c r="I222" s="2" t="n"/>
      <c r="J222" s="2" t="n"/>
      <c r="K222" s="2" t="n"/>
    </row>
    <row r="223">
      <c r="A223" s="2" t="n">
        <v>212</v>
      </c>
      <c r="B223" s="12">
        <f>MAX(0,'Deal Analyzer'!$B$4*(1+NORM.INV(RAND(),0,$J$4)))</f>
        <v/>
      </c>
      <c r="C223" s="12">
        <f>'Deal Analyzer'!$B$5*MAX(0.9,1+NORM.INV(RAND(),$J$5,$J$6))</f>
        <v/>
      </c>
      <c r="D223" s="12">
        <f>'Deal Analyzer'!$B$24+C223+B223*'Deal Analyzer'!$B$11</f>
        <v/>
      </c>
      <c r="E223" s="15">
        <f>IF(B223=0,0,(B223-D223)/B223)</f>
        <v/>
      </c>
      <c r="F223" s="2">
        <f>E223&gt;='Deal Analyzer'!$B$12</f>
        <v/>
      </c>
      <c r="G223" s="12">
        <f>IF(AND(F223,RAND()&lt;$J$7),'Deal Analyzer'!$B$8-'Deal Analyzer'!$B$10,-('Deal Analyzer'!$B$10+'Deal Analyzer'!$B$9*'Deal Analyzer'!$B$14))</f>
        <v/>
      </c>
      <c r="H223" s="2" t="n"/>
      <c r="I223" s="2" t="n"/>
      <c r="J223" s="2" t="n"/>
      <c r="K223" s="2" t="n"/>
    </row>
    <row r="224">
      <c r="A224" s="2" t="n">
        <v>213</v>
      </c>
      <c r="B224" s="12">
        <f>MAX(0,'Deal Analyzer'!$B$4*(1+NORM.INV(RAND(),0,$J$4)))</f>
        <v/>
      </c>
      <c r="C224" s="12">
        <f>'Deal Analyzer'!$B$5*MAX(0.9,1+NORM.INV(RAND(),$J$5,$J$6))</f>
        <v/>
      </c>
      <c r="D224" s="12">
        <f>'Deal Analyzer'!$B$24+C224+B224*'Deal Analyzer'!$B$11</f>
        <v/>
      </c>
      <c r="E224" s="15">
        <f>IF(B224=0,0,(B224-D224)/B224)</f>
        <v/>
      </c>
      <c r="F224" s="2">
        <f>E224&gt;='Deal Analyzer'!$B$12</f>
        <v/>
      </c>
      <c r="G224" s="12">
        <f>IF(AND(F224,RAND()&lt;$J$7),'Deal Analyzer'!$B$8-'Deal Analyzer'!$B$10,-('Deal Analyzer'!$B$10+'Deal Analyzer'!$B$9*'Deal Analyzer'!$B$14))</f>
        <v/>
      </c>
      <c r="H224" s="2" t="n"/>
      <c r="I224" s="2" t="n"/>
      <c r="J224" s="2" t="n"/>
      <c r="K224" s="2" t="n"/>
    </row>
    <row r="225">
      <c r="A225" s="2" t="n">
        <v>214</v>
      </c>
      <c r="B225" s="12">
        <f>MAX(0,'Deal Analyzer'!$B$4*(1+NORM.INV(RAND(),0,$J$4)))</f>
        <v/>
      </c>
      <c r="C225" s="12">
        <f>'Deal Analyzer'!$B$5*MAX(0.9,1+NORM.INV(RAND(),$J$5,$J$6))</f>
        <v/>
      </c>
      <c r="D225" s="12">
        <f>'Deal Analyzer'!$B$24+C225+B225*'Deal Analyzer'!$B$11</f>
        <v/>
      </c>
      <c r="E225" s="15">
        <f>IF(B225=0,0,(B225-D225)/B225)</f>
        <v/>
      </c>
      <c r="F225" s="2">
        <f>E225&gt;='Deal Analyzer'!$B$12</f>
        <v/>
      </c>
      <c r="G225" s="12">
        <f>IF(AND(F225,RAND()&lt;$J$7),'Deal Analyzer'!$B$8-'Deal Analyzer'!$B$10,-('Deal Analyzer'!$B$10+'Deal Analyzer'!$B$9*'Deal Analyzer'!$B$14))</f>
        <v/>
      </c>
      <c r="H225" s="2" t="n"/>
      <c r="I225" s="2" t="n"/>
      <c r="J225" s="2" t="n"/>
      <c r="K225" s="2" t="n"/>
    </row>
    <row r="226">
      <c r="A226" s="2" t="n">
        <v>215</v>
      </c>
      <c r="B226" s="12">
        <f>MAX(0,'Deal Analyzer'!$B$4*(1+NORM.INV(RAND(),0,$J$4)))</f>
        <v/>
      </c>
      <c r="C226" s="12">
        <f>'Deal Analyzer'!$B$5*MAX(0.9,1+NORM.INV(RAND(),$J$5,$J$6))</f>
        <v/>
      </c>
      <c r="D226" s="12">
        <f>'Deal Analyzer'!$B$24+C226+B226*'Deal Analyzer'!$B$11</f>
        <v/>
      </c>
      <c r="E226" s="15">
        <f>IF(B226=0,0,(B226-D226)/B226)</f>
        <v/>
      </c>
      <c r="F226" s="2">
        <f>E226&gt;='Deal Analyzer'!$B$12</f>
        <v/>
      </c>
      <c r="G226" s="12">
        <f>IF(AND(F226,RAND()&lt;$J$7),'Deal Analyzer'!$B$8-'Deal Analyzer'!$B$10,-('Deal Analyzer'!$B$10+'Deal Analyzer'!$B$9*'Deal Analyzer'!$B$14))</f>
        <v/>
      </c>
      <c r="H226" s="2" t="n"/>
      <c r="I226" s="2" t="n"/>
      <c r="J226" s="2" t="n"/>
      <c r="K226" s="2" t="n"/>
    </row>
    <row r="227">
      <c r="A227" s="2" t="n">
        <v>216</v>
      </c>
      <c r="B227" s="12">
        <f>MAX(0,'Deal Analyzer'!$B$4*(1+NORM.INV(RAND(),0,$J$4)))</f>
        <v/>
      </c>
      <c r="C227" s="12">
        <f>'Deal Analyzer'!$B$5*MAX(0.9,1+NORM.INV(RAND(),$J$5,$J$6))</f>
        <v/>
      </c>
      <c r="D227" s="12">
        <f>'Deal Analyzer'!$B$24+C227+B227*'Deal Analyzer'!$B$11</f>
        <v/>
      </c>
      <c r="E227" s="15">
        <f>IF(B227=0,0,(B227-D227)/B227)</f>
        <v/>
      </c>
      <c r="F227" s="2">
        <f>E227&gt;='Deal Analyzer'!$B$12</f>
        <v/>
      </c>
      <c r="G227" s="12">
        <f>IF(AND(F227,RAND()&lt;$J$7),'Deal Analyzer'!$B$8-'Deal Analyzer'!$B$10,-('Deal Analyzer'!$B$10+'Deal Analyzer'!$B$9*'Deal Analyzer'!$B$14))</f>
        <v/>
      </c>
      <c r="H227" s="2" t="n"/>
      <c r="I227" s="2" t="n"/>
      <c r="J227" s="2" t="n"/>
      <c r="K227" s="2" t="n"/>
    </row>
    <row r="228">
      <c r="A228" s="2" t="n">
        <v>217</v>
      </c>
      <c r="B228" s="12">
        <f>MAX(0,'Deal Analyzer'!$B$4*(1+NORM.INV(RAND(),0,$J$4)))</f>
        <v/>
      </c>
      <c r="C228" s="12">
        <f>'Deal Analyzer'!$B$5*MAX(0.9,1+NORM.INV(RAND(),$J$5,$J$6))</f>
        <v/>
      </c>
      <c r="D228" s="12">
        <f>'Deal Analyzer'!$B$24+C228+B228*'Deal Analyzer'!$B$11</f>
        <v/>
      </c>
      <c r="E228" s="15">
        <f>IF(B228=0,0,(B228-D228)/B228)</f>
        <v/>
      </c>
      <c r="F228" s="2">
        <f>E228&gt;='Deal Analyzer'!$B$12</f>
        <v/>
      </c>
      <c r="G228" s="12">
        <f>IF(AND(F228,RAND()&lt;$J$7),'Deal Analyzer'!$B$8-'Deal Analyzer'!$B$10,-('Deal Analyzer'!$B$10+'Deal Analyzer'!$B$9*'Deal Analyzer'!$B$14))</f>
        <v/>
      </c>
      <c r="H228" s="2" t="n"/>
      <c r="I228" s="2" t="n"/>
      <c r="J228" s="2" t="n"/>
      <c r="K228" s="2" t="n"/>
    </row>
    <row r="229">
      <c r="A229" s="2" t="n">
        <v>218</v>
      </c>
      <c r="B229" s="12">
        <f>MAX(0,'Deal Analyzer'!$B$4*(1+NORM.INV(RAND(),0,$J$4)))</f>
        <v/>
      </c>
      <c r="C229" s="12">
        <f>'Deal Analyzer'!$B$5*MAX(0.9,1+NORM.INV(RAND(),$J$5,$J$6))</f>
        <v/>
      </c>
      <c r="D229" s="12">
        <f>'Deal Analyzer'!$B$24+C229+B229*'Deal Analyzer'!$B$11</f>
        <v/>
      </c>
      <c r="E229" s="15">
        <f>IF(B229=0,0,(B229-D229)/B229)</f>
        <v/>
      </c>
      <c r="F229" s="2">
        <f>E229&gt;='Deal Analyzer'!$B$12</f>
        <v/>
      </c>
      <c r="G229" s="12">
        <f>IF(AND(F229,RAND()&lt;$J$7),'Deal Analyzer'!$B$8-'Deal Analyzer'!$B$10,-('Deal Analyzer'!$B$10+'Deal Analyzer'!$B$9*'Deal Analyzer'!$B$14))</f>
        <v/>
      </c>
      <c r="H229" s="2" t="n"/>
      <c r="I229" s="2" t="n"/>
      <c r="J229" s="2" t="n"/>
      <c r="K229" s="2" t="n"/>
    </row>
    <row r="230">
      <c r="A230" s="2" t="n">
        <v>219</v>
      </c>
      <c r="B230" s="12">
        <f>MAX(0,'Deal Analyzer'!$B$4*(1+NORM.INV(RAND(),0,$J$4)))</f>
        <v/>
      </c>
      <c r="C230" s="12">
        <f>'Deal Analyzer'!$B$5*MAX(0.9,1+NORM.INV(RAND(),$J$5,$J$6))</f>
        <v/>
      </c>
      <c r="D230" s="12">
        <f>'Deal Analyzer'!$B$24+C230+B230*'Deal Analyzer'!$B$11</f>
        <v/>
      </c>
      <c r="E230" s="15">
        <f>IF(B230=0,0,(B230-D230)/B230)</f>
        <v/>
      </c>
      <c r="F230" s="2">
        <f>E230&gt;='Deal Analyzer'!$B$12</f>
        <v/>
      </c>
      <c r="G230" s="12">
        <f>IF(AND(F230,RAND()&lt;$J$7),'Deal Analyzer'!$B$8-'Deal Analyzer'!$B$10,-('Deal Analyzer'!$B$10+'Deal Analyzer'!$B$9*'Deal Analyzer'!$B$14))</f>
        <v/>
      </c>
      <c r="H230" s="2" t="n"/>
      <c r="I230" s="2" t="n"/>
      <c r="J230" s="2" t="n"/>
      <c r="K230" s="2" t="n"/>
    </row>
    <row r="231">
      <c r="A231" s="2" t="n">
        <v>220</v>
      </c>
      <c r="B231" s="12">
        <f>MAX(0,'Deal Analyzer'!$B$4*(1+NORM.INV(RAND(),0,$J$4)))</f>
        <v/>
      </c>
      <c r="C231" s="12">
        <f>'Deal Analyzer'!$B$5*MAX(0.9,1+NORM.INV(RAND(),$J$5,$J$6))</f>
        <v/>
      </c>
      <c r="D231" s="12">
        <f>'Deal Analyzer'!$B$24+C231+B231*'Deal Analyzer'!$B$11</f>
        <v/>
      </c>
      <c r="E231" s="15">
        <f>IF(B231=0,0,(B231-D231)/B231)</f>
        <v/>
      </c>
      <c r="F231" s="2">
        <f>E231&gt;='Deal Analyzer'!$B$12</f>
        <v/>
      </c>
      <c r="G231" s="12">
        <f>IF(AND(F231,RAND()&lt;$J$7),'Deal Analyzer'!$B$8-'Deal Analyzer'!$B$10,-('Deal Analyzer'!$B$10+'Deal Analyzer'!$B$9*'Deal Analyzer'!$B$14))</f>
        <v/>
      </c>
      <c r="H231" s="2" t="n"/>
      <c r="I231" s="2" t="n"/>
      <c r="J231" s="2" t="n"/>
      <c r="K231" s="2" t="n"/>
    </row>
    <row r="232">
      <c r="A232" s="2" t="n">
        <v>221</v>
      </c>
      <c r="B232" s="12">
        <f>MAX(0,'Deal Analyzer'!$B$4*(1+NORM.INV(RAND(),0,$J$4)))</f>
        <v/>
      </c>
      <c r="C232" s="12">
        <f>'Deal Analyzer'!$B$5*MAX(0.9,1+NORM.INV(RAND(),$J$5,$J$6))</f>
        <v/>
      </c>
      <c r="D232" s="12">
        <f>'Deal Analyzer'!$B$24+C232+B232*'Deal Analyzer'!$B$11</f>
        <v/>
      </c>
      <c r="E232" s="15">
        <f>IF(B232=0,0,(B232-D232)/B232)</f>
        <v/>
      </c>
      <c r="F232" s="2">
        <f>E232&gt;='Deal Analyzer'!$B$12</f>
        <v/>
      </c>
      <c r="G232" s="12">
        <f>IF(AND(F232,RAND()&lt;$J$7),'Deal Analyzer'!$B$8-'Deal Analyzer'!$B$10,-('Deal Analyzer'!$B$10+'Deal Analyzer'!$B$9*'Deal Analyzer'!$B$14))</f>
        <v/>
      </c>
      <c r="H232" s="2" t="n"/>
      <c r="I232" s="2" t="n"/>
      <c r="J232" s="2" t="n"/>
      <c r="K232" s="2" t="n"/>
    </row>
    <row r="233">
      <c r="A233" s="2" t="n">
        <v>222</v>
      </c>
      <c r="B233" s="12">
        <f>MAX(0,'Deal Analyzer'!$B$4*(1+NORM.INV(RAND(),0,$J$4)))</f>
        <v/>
      </c>
      <c r="C233" s="12">
        <f>'Deal Analyzer'!$B$5*MAX(0.9,1+NORM.INV(RAND(),$J$5,$J$6))</f>
        <v/>
      </c>
      <c r="D233" s="12">
        <f>'Deal Analyzer'!$B$24+C233+B233*'Deal Analyzer'!$B$11</f>
        <v/>
      </c>
      <c r="E233" s="15">
        <f>IF(B233=0,0,(B233-D233)/B233)</f>
        <v/>
      </c>
      <c r="F233" s="2">
        <f>E233&gt;='Deal Analyzer'!$B$12</f>
        <v/>
      </c>
      <c r="G233" s="12">
        <f>IF(AND(F233,RAND()&lt;$J$7),'Deal Analyzer'!$B$8-'Deal Analyzer'!$B$10,-('Deal Analyzer'!$B$10+'Deal Analyzer'!$B$9*'Deal Analyzer'!$B$14))</f>
        <v/>
      </c>
      <c r="H233" s="2" t="n"/>
      <c r="I233" s="2" t="n"/>
      <c r="J233" s="2" t="n"/>
      <c r="K233" s="2" t="n"/>
    </row>
    <row r="234">
      <c r="A234" s="2" t="n">
        <v>223</v>
      </c>
      <c r="B234" s="12">
        <f>MAX(0,'Deal Analyzer'!$B$4*(1+NORM.INV(RAND(),0,$J$4)))</f>
        <v/>
      </c>
      <c r="C234" s="12">
        <f>'Deal Analyzer'!$B$5*MAX(0.9,1+NORM.INV(RAND(),$J$5,$J$6))</f>
        <v/>
      </c>
      <c r="D234" s="12">
        <f>'Deal Analyzer'!$B$24+C234+B234*'Deal Analyzer'!$B$11</f>
        <v/>
      </c>
      <c r="E234" s="15">
        <f>IF(B234=0,0,(B234-D234)/B234)</f>
        <v/>
      </c>
      <c r="F234" s="2">
        <f>E234&gt;='Deal Analyzer'!$B$12</f>
        <v/>
      </c>
      <c r="G234" s="12">
        <f>IF(AND(F234,RAND()&lt;$J$7),'Deal Analyzer'!$B$8-'Deal Analyzer'!$B$10,-('Deal Analyzer'!$B$10+'Deal Analyzer'!$B$9*'Deal Analyzer'!$B$14))</f>
        <v/>
      </c>
      <c r="H234" s="2" t="n"/>
      <c r="I234" s="2" t="n"/>
      <c r="J234" s="2" t="n"/>
      <c r="K234" s="2" t="n"/>
    </row>
    <row r="235">
      <c r="A235" s="2" t="n">
        <v>224</v>
      </c>
      <c r="B235" s="12">
        <f>MAX(0,'Deal Analyzer'!$B$4*(1+NORM.INV(RAND(),0,$J$4)))</f>
        <v/>
      </c>
      <c r="C235" s="12">
        <f>'Deal Analyzer'!$B$5*MAX(0.9,1+NORM.INV(RAND(),$J$5,$J$6))</f>
        <v/>
      </c>
      <c r="D235" s="12">
        <f>'Deal Analyzer'!$B$24+C235+B235*'Deal Analyzer'!$B$11</f>
        <v/>
      </c>
      <c r="E235" s="15">
        <f>IF(B235=0,0,(B235-D235)/B235)</f>
        <v/>
      </c>
      <c r="F235" s="2">
        <f>E235&gt;='Deal Analyzer'!$B$12</f>
        <v/>
      </c>
      <c r="G235" s="12">
        <f>IF(AND(F235,RAND()&lt;$J$7),'Deal Analyzer'!$B$8-'Deal Analyzer'!$B$10,-('Deal Analyzer'!$B$10+'Deal Analyzer'!$B$9*'Deal Analyzer'!$B$14))</f>
        <v/>
      </c>
      <c r="H235" s="2" t="n"/>
      <c r="I235" s="2" t="n"/>
      <c r="J235" s="2" t="n"/>
      <c r="K235" s="2" t="n"/>
    </row>
    <row r="236">
      <c r="A236" s="2" t="n">
        <v>225</v>
      </c>
      <c r="B236" s="12">
        <f>MAX(0,'Deal Analyzer'!$B$4*(1+NORM.INV(RAND(),0,$J$4)))</f>
        <v/>
      </c>
      <c r="C236" s="12">
        <f>'Deal Analyzer'!$B$5*MAX(0.9,1+NORM.INV(RAND(),$J$5,$J$6))</f>
        <v/>
      </c>
      <c r="D236" s="12">
        <f>'Deal Analyzer'!$B$24+C236+B236*'Deal Analyzer'!$B$11</f>
        <v/>
      </c>
      <c r="E236" s="15">
        <f>IF(B236=0,0,(B236-D236)/B236)</f>
        <v/>
      </c>
      <c r="F236" s="2">
        <f>E236&gt;='Deal Analyzer'!$B$12</f>
        <v/>
      </c>
      <c r="G236" s="12">
        <f>IF(AND(F236,RAND()&lt;$J$7),'Deal Analyzer'!$B$8-'Deal Analyzer'!$B$10,-('Deal Analyzer'!$B$10+'Deal Analyzer'!$B$9*'Deal Analyzer'!$B$14))</f>
        <v/>
      </c>
      <c r="H236" s="2" t="n"/>
      <c r="I236" s="2" t="n"/>
      <c r="J236" s="2" t="n"/>
      <c r="K236" s="2" t="n"/>
    </row>
    <row r="237">
      <c r="A237" s="2" t="n">
        <v>226</v>
      </c>
      <c r="B237" s="12">
        <f>MAX(0,'Deal Analyzer'!$B$4*(1+NORM.INV(RAND(),0,$J$4)))</f>
        <v/>
      </c>
      <c r="C237" s="12">
        <f>'Deal Analyzer'!$B$5*MAX(0.9,1+NORM.INV(RAND(),$J$5,$J$6))</f>
        <v/>
      </c>
      <c r="D237" s="12">
        <f>'Deal Analyzer'!$B$24+C237+B237*'Deal Analyzer'!$B$11</f>
        <v/>
      </c>
      <c r="E237" s="15">
        <f>IF(B237=0,0,(B237-D237)/B237)</f>
        <v/>
      </c>
      <c r="F237" s="2">
        <f>E237&gt;='Deal Analyzer'!$B$12</f>
        <v/>
      </c>
      <c r="G237" s="12">
        <f>IF(AND(F237,RAND()&lt;$J$7),'Deal Analyzer'!$B$8-'Deal Analyzer'!$B$10,-('Deal Analyzer'!$B$10+'Deal Analyzer'!$B$9*'Deal Analyzer'!$B$14))</f>
        <v/>
      </c>
      <c r="H237" s="2" t="n"/>
      <c r="I237" s="2" t="n"/>
      <c r="J237" s="2" t="n"/>
      <c r="K237" s="2" t="n"/>
    </row>
    <row r="238">
      <c r="A238" s="2" t="n">
        <v>227</v>
      </c>
      <c r="B238" s="12">
        <f>MAX(0,'Deal Analyzer'!$B$4*(1+NORM.INV(RAND(),0,$J$4)))</f>
        <v/>
      </c>
      <c r="C238" s="12">
        <f>'Deal Analyzer'!$B$5*MAX(0.9,1+NORM.INV(RAND(),$J$5,$J$6))</f>
        <v/>
      </c>
      <c r="D238" s="12">
        <f>'Deal Analyzer'!$B$24+C238+B238*'Deal Analyzer'!$B$11</f>
        <v/>
      </c>
      <c r="E238" s="15">
        <f>IF(B238=0,0,(B238-D238)/B238)</f>
        <v/>
      </c>
      <c r="F238" s="2">
        <f>E238&gt;='Deal Analyzer'!$B$12</f>
        <v/>
      </c>
      <c r="G238" s="12">
        <f>IF(AND(F238,RAND()&lt;$J$7),'Deal Analyzer'!$B$8-'Deal Analyzer'!$B$10,-('Deal Analyzer'!$B$10+'Deal Analyzer'!$B$9*'Deal Analyzer'!$B$14))</f>
        <v/>
      </c>
      <c r="H238" s="2" t="n"/>
      <c r="I238" s="2" t="n"/>
      <c r="J238" s="2" t="n"/>
      <c r="K238" s="2" t="n"/>
    </row>
    <row r="239">
      <c r="A239" s="2" t="n">
        <v>228</v>
      </c>
      <c r="B239" s="12">
        <f>MAX(0,'Deal Analyzer'!$B$4*(1+NORM.INV(RAND(),0,$J$4)))</f>
        <v/>
      </c>
      <c r="C239" s="12">
        <f>'Deal Analyzer'!$B$5*MAX(0.9,1+NORM.INV(RAND(),$J$5,$J$6))</f>
        <v/>
      </c>
      <c r="D239" s="12">
        <f>'Deal Analyzer'!$B$24+C239+B239*'Deal Analyzer'!$B$11</f>
        <v/>
      </c>
      <c r="E239" s="15">
        <f>IF(B239=0,0,(B239-D239)/B239)</f>
        <v/>
      </c>
      <c r="F239" s="2">
        <f>E239&gt;='Deal Analyzer'!$B$12</f>
        <v/>
      </c>
      <c r="G239" s="12">
        <f>IF(AND(F239,RAND()&lt;$J$7),'Deal Analyzer'!$B$8-'Deal Analyzer'!$B$10,-('Deal Analyzer'!$B$10+'Deal Analyzer'!$B$9*'Deal Analyzer'!$B$14))</f>
        <v/>
      </c>
      <c r="H239" s="2" t="n"/>
      <c r="I239" s="2" t="n"/>
      <c r="J239" s="2" t="n"/>
      <c r="K239" s="2" t="n"/>
    </row>
    <row r="240">
      <c r="A240" s="2" t="n">
        <v>229</v>
      </c>
      <c r="B240" s="12">
        <f>MAX(0,'Deal Analyzer'!$B$4*(1+NORM.INV(RAND(),0,$J$4)))</f>
        <v/>
      </c>
      <c r="C240" s="12">
        <f>'Deal Analyzer'!$B$5*MAX(0.9,1+NORM.INV(RAND(),$J$5,$J$6))</f>
        <v/>
      </c>
      <c r="D240" s="12">
        <f>'Deal Analyzer'!$B$24+C240+B240*'Deal Analyzer'!$B$11</f>
        <v/>
      </c>
      <c r="E240" s="15">
        <f>IF(B240=0,0,(B240-D240)/B240)</f>
        <v/>
      </c>
      <c r="F240" s="2">
        <f>E240&gt;='Deal Analyzer'!$B$12</f>
        <v/>
      </c>
      <c r="G240" s="12">
        <f>IF(AND(F240,RAND()&lt;$J$7),'Deal Analyzer'!$B$8-'Deal Analyzer'!$B$10,-('Deal Analyzer'!$B$10+'Deal Analyzer'!$B$9*'Deal Analyzer'!$B$14))</f>
        <v/>
      </c>
      <c r="H240" s="2" t="n"/>
      <c r="I240" s="2" t="n"/>
      <c r="J240" s="2" t="n"/>
      <c r="K240" s="2" t="n"/>
    </row>
    <row r="241">
      <c r="A241" s="2" t="n">
        <v>230</v>
      </c>
      <c r="B241" s="12">
        <f>MAX(0,'Deal Analyzer'!$B$4*(1+NORM.INV(RAND(),0,$J$4)))</f>
        <v/>
      </c>
      <c r="C241" s="12">
        <f>'Deal Analyzer'!$B$5*MAX(0.9,1+NORM.INV(RAND(),$J$5,$J$6))</f>
        <v/>
      </c>
      <c r="D241" s="12">
        <f>'Deal Analyzer'!$B$24+C241+B241*'Deal Analyzer'!$B$11</f>
        <v/>
      </c>
      <c r="E241" s="15">
        <f>IF(B241=0,0,(B241-D241)/B241)</f>
        <v/>
      </c>
      <c r="F241" s="2">
        <f>E241&gt;='Deal Analyzer'!$B$12</f>
        <v/>
      </c>
      <c r="G241" s="12">
        <f>IF(AND(F241,RAND()&lt;$J$7),'Deal Analyzer'!$B$8-'Deal Analyzer'!$B$10,-('Deal Analyzer'!$B$10+'Deal Analyzer'!$B$9*'Deal Analyzer'!$B$14))</f>
        <v/>
      </c>
      <c r="H241" s="2" t="n"/>
      <c r="I241" s="2" t="n"/>
      <c r="J241" s="2" t="n"/>
      <c r="K241" s="2" t="n"/>
    </row>
    <row r="242">
      <c r="A242" s="2" t="n">
        <v>231</v>
      </c>
      <c r="B242" s="12">
        <f>MAX(0,'Deal Analyzer'!$B$4*(1+NORM.INV(RAND(),0,$J$4)))</f>
        <v/>
      </c>
      <c r="C242" s="12">
        <f>'Deal Analyzer'!$B$5*MAX(0.9,1+NORM.INV(RAND(),$J$5,$J$6))</f>
        <v/>
      </c>
      <c r="D242" s="12">
        <f>'Deal Analyzer'!$B$24+C242+B242*'Deal Analyzer'!$B$11</f>
        <v/>
      </c>
      <c r="E242" s="15">
        <f>IF(B242=0,0,(B242-D242)/B242)</f>
        <v/>
      </c>
      <c r="F242" s="2">
        <f>E242&gt;='Deal Analyzer'!$B$12</f>
        <v/>
      </c>
      <c r="G242" s="12">
        <f>IF(AND(F242,RAND()&lt;$J$7),'Deal Analyzer'!$B$8-'Deal Analyzer'!$B$10,-('Deal Analyzer'!$B$10+'Deal Analyzer'!$B$9*'Deal Analyzer'!$B$14))</f>
        <v/>
      </c>
      <c r="H242" s="2" t="n"/>
      <c r="I242" s="2" t="n"/>
      <c r="J242" s="2" t="n"/>
      <c r="K242" s="2" t="n"/>
    </row>
    <row r="243">
      <c r="A243" s="2" t="n">
        <v>232</v>
      </c>
      <c r="B243" s="12">
        <f>MAX(0,'Deal Analyzer'!$B$4*(1+NORM.INV(RAND(),0,$J$4)))</f>
        <v/>
      </c>
      <c r="C243" s="12">
        <f>'Deal Analyzer'!$B$5*MAX(0.9,1+NORM.INV(RAND(),$J$5,$J$6))</f>
        <v/>
      </c>
      <c r="D243" s="12">
        <f>'Deal Analyzer'!$B$24+C243+B243*'Deal Analyzer'!$B$11</f>
        <v/>
      </c>
      <c r="E243" s="15">
        <f>IF(B243=0,0,(B243-D243)/B243)</f>
        <v/>
      </c>
      <c r="F243" s="2">
        <f>E243&gt;='Deal Analyzer'!$B$12</f>
        <v/>
      </c>
      <c r="G243" s="12">
        <f>IF(AND(F243,RAND()&lt;$J$7),'Deal Analyzer'!$B$8-'Deal Analyzer'!$B$10,-('Deal Analyzer'!$B$10+'Deal Analyzer'!$B$9*'Deal Analyzer'!$B$14))</f>
        <v/>
      </c>
      <c r="H243" s="2" t="n"/>
      <c r="I243" s="2" t="n"/>
      <c r="J243" s="2" t="n"/>
      <c r="K243" s="2" t="n"/>
    </row>
    <row r="244">
      <c r="A244" s="2" t="n">
        <v>233</v>
      </c>
      <c r="B244" s="12">
        <f>MAX(0,'Deal Analyzer'!$B$4*(1+NORM.INV(RAND(),0,$J$4)))</f>
        <v/>
      </c>
      <c r="C244" s="12">
        <f>'Deal Analyzer'!$B$5*MAX(0.9,1+NORM.INV(RAND(),$J$5,$J$6))</f>
        <v/>
      </c>
      <c r="D244" s="12">
        <f>'Deal Analyzer'!$B$24+C244+B244*'Deal Analyzer'!$B$11</f>
        <v/>
      </c>
      <c r="E244" s="15">
        <f>IF(B244=0,0,(B244-D244)/B244)</f>
        <v/>
      </c>
      <c r="F244" s="2">
        <f>E244&gt;='Deal Analyzer'!$B$12</f>
        <v/>
      </c>
      <c r="G244" s="12">
        <f>IF(AND(F244,RAND()&lt;$J$7),'Deal Analyzer'!$B$8-'Deal Analyzer'!$B$10,-('Deal Analyzer'!$B$10+'Deal Analyzer'!$B$9*'Deal Analyzer'!$B$14))</f>
        <v/>
      </c>
      <c r="H244" s="2" t="n"/>
      <c r="I244" s="2" t="n"/>
      <c r="J244" s="2" t="n"/>
      <c r="K244" s="2" t="n"/>
    </row>
    <row r="245">
      <c r="A245" s="2" t="n">
        <v>234</v>
      </c>
      <c r="B245" s="12">
        <f>MAX(0,'Deal Analyzer'!$B$4*(1+NORM.INV(RAND(),0,$J$4)))</f>
        <v/>
      </c>
      <c r="C245" s="12">
        <f>'Deal Analyzer'!$B$5*MAX(0.9,1+NORM.INV(RAND(),$J$5,$J$6))</f>
        <v/>
      </c>
      <c r="D245" s="12">
        <f>'Deal Analyzer'!$B$24+C245+B245*'Deal Analyzer'!$B$11</f>
        <v/>
      </c>
      <c r="E245" s="15">
        <f>IF(B245=0,0,(B245-D245)/B245)</f>
        <v/>
      </c>
      <c r="F245" s="2">
        <f>E245&gt;='Deal Analyzer'!$B$12</f>
        <v/>
      </c>
      <c r="G245" s="12">
        <f>IF(AND(F245,RAND()&lt;$J$7),'Deal Analyzer'!$B$8-'Deal Analyzer'!$B$10,-('Deal Analyzer'!$B$10+'Deal Analyzer'!$B$9*'Deal Analyzer'!$B$14))</f>
        <v/>
      </c>
      <c r="H245" s="2" t="n"/>
      <c r="I245" s="2" t="n"/>
      <c r="J245" s="2" t="n"/>
      <c r="K245" s="2" t="n"/>
    </row>
    <row r="246">
      <c r="A246" s="2" t="n">
        <v>235</v>
      </c>
      <c r="B246" s="12">
        <f>MAX(0,'Deal Analyzer'!$B$4*(1+NORM.INV(RAND(),0,$J$4)))</f>
        <v/>
      </c>
      <c r="C246" s="12">
        <f>'Deal Analyzer'!$B$5*MAX(0.9,1+NORM.INV(RAND(),$J$5,$J$6))</f>
        <v/>
      </c>
      <c r="D246" s="12">
        <f>'Deal Analyzer'!$B$24+C246+B246*'Deal Analyzer'!$B$11</f>
        <v/>
      </c>
      <c r="E246" s="15">
        <f>IF(B246=0,0,(B246-D246)/B246)</f>
        <v/>
      </c>
      <c r="F246" s="2">
        <f>E246&gt;='Deal Analyzer'!$B$12</f>
        <v/>
      </c>
      <c r="G246" s="12">
        <f>IF(AND(F246,RAND()&lt;$J$7),'Deal Analyzer'!$B$8-'Deal Analyzer'!$B$10,-('Deal Analyzer'!$B$10+'Deal Analyzer'!$B$9*'Deal Analyzer'!$B$14))</f>
        <v/>
      </c>
      <c r="H246" s="2" t="n"/>
      <c r="I246" s="2" t="n"/>
      <c r="J246" s="2" t="n"/>
      <c r="K246" s="2" t="n"/>
    </row>
    <row r="247">
      <c r="A247" s="2" t="n">
        <v>236</v>
      </c>
      <c r="B247" s="12">
        <f>MAX(0,'Deal Analyzer'!$B$4*(1+NORM.INV(RAND(),0,$J$4)))</f>
        <v/>
      </c>
      <c r="C247" s="12">
        <f>'Deal Analyzer'!$B$5*MAX(0.9,1+NORM.INV(RAND(),$J$5,$J$6))</f>
        <v/>
      </c>
      <c r="D247" s="12">
        <f>'Deal Analyzer'!$B$24+C247+B247*'Deal Analyzer'!$B$11</f>
        <v/>
      </c>
      <c r="E247" s="15">
        <f>IF(B247=0,0,(B247-D247)/B247)</f>
        <v/>
      </c>
      <c r="F247" s="2">
        <f>E247&gt;='Deal Analyzer'!$B$12</f>
        <v/>
      </c>
      <c r="G247" s="12">
        <f>IF(AND(F247,RAND()&lt;$J$7),'Deal Analyzer'!$B$8-'Deal Analyzer'!$B$10,-('Deal Analyzer'!$B$10+'Deal Analyzer'!$B$9*'Deal Analyzer'!$B$14))</f>
        <v/>
      </c>
      <c r="H247" s="2" t="n"/>
      <c r="I247" s="2" t="n"/>
      <c r="J247" s="2" t="n"/>
      <c r="K247" s="2" t="n"/>
    </row>
    <row r="248">
      <c r="A248" s="2" t="n">
        <v>237</v>
      </c>
      <c r="B248" s="12">
        <f>MAX(0,'Deal Analyzer'!$B$4*(1+NORM.INV(RAND(),0,$J$4)))</f>
        <v/>
      </c>
      <c r="C248" s="12">
        <f>'Deal Analyzer'!$B$5*MAX(0.9,1+NORM.INV(RAND(),$J$5,$J$6))</f>
        <v/>
      </c>
      <c r="D248" s="12">
        <f>'Deal Analyzer'!$B$24+C248+B248*'Deal Analyzer'!$B$11</f>
        <v/>
      </c>
      <c r="E248" s="15">
        <f>IF(B248=0,0,(B248-D248)/B248)</f>
        <v/>
      </c>
      <c r="F248" s="2">
        <f>E248&gt;='Deal Analyzer'!$B$12</f>
        <v/>
      </c>
      <c r="G248" s="12">
        <f>IF(AND(F248,RAND()&lt;$J$7),'Deal Analyzer'!$B$8-'Deal Analyzer'!$B$10,-('Deal Analyzer'!$B$10+'Deal Analyzer'!$B$9*'Deal Analyzer'!$B$14))</f>
        <v/>
      </c>
      <c r="H248" s="2" t="n"/>
      <c r="I248" s="2" t="n"/>
      <c r="J248" s="2" t="n"/>
      <c r="K248" s="2" t="n"/>
    </row>
    <row r="249">
      <c r="A249" s="2" t="n">
        <v>238</v>
      </c>
      <c r="B249" s="12">
        <f>MAX(0,'Deal Analyzer'!$B$4*(1+NORM.INV(RAND(),0,$J$4)))</f>
        <v/>
      </c>
      <c r="C249" s="12">
        <f>'Deal Analyzer'!$B$5*MAX(0.9,1+NORM.INV(RAND(),$J$5,$J$6))</f>
        <v/>
      </c>
      <c r="D249" s="12">
        <f>'Deal Analyzer'!$B$24+C249+B249*'Deal Analyzer'!$B$11</f>
        <v/>
      </c>
      <c r="E249" s="15">
        <f>IF(B249=0,0,(B249-D249)/B249)</f>
        <v/>
      </c>
      <c r="F249" s="2">
        <f>E249&gt;='Deal Analyzer'!$B$12</f>
        <v/>
      </c>
      <c r="G249" s="12">
        <f>IF(AND(F249,RAND()&lt;$J$7),'Deal Analyzer'!$B$8-'Deal Analyzer'!$B$10,-('Deal Analyzer'!$B$10+'Deal Analyzer'!$B$9*'Deal Analyzer'!$B$14))</f>
        <v/>
      </c>
      <c r="H249" s="2" t="n"/>
      <c r="I249" s="2" t="n"/>
      <c r="J249" s="2" t="n"/>
      <c r="K249" s="2" t="n"/>
    </row>
    <row r="250">
      <c r="A250" s="2" t="n">
        <v>239</v>
      </c>
      <c r="B250" s="12">
        <f>MAX(0,'Deal Analyzer'!$B$4*(1+NORM.INV(RAND(),0,$J$4)))</f>
        <v/>
      </c>
      <c r="C250" s="12">
        <f>'Deal Analyzer'!$B$5*MAX(0.9,1+NORM.INV(RAND(),$J$5,$J$6))</f>
        <v/>
      </c>
      <c r="D250" s="12">
        <f>'Deal Analyzer'!$B$24+C250+B250*'Deal Analyzer'!$B$11</f>
        <v/>
      </c>
      <c r="E250" s="15">
        <f>IF(B250=0,0,(B250-D250)/B250)</f>
        <v/>
      </c>
      <c r="F250" s="2">
        <f>E250&gt;='Deal Analyzer'!$B$12</f>
        <v/>
      </c>
      <c r="G250" s="12">
        <f>IF(AND(F250,RAND()&lt;$J$7),'Deal Analyzer'!$B$8-'Deal Analyzer'!$B$10,-('Deal Analyzer'!$B$10+'Deal Analyzer'!$B$9*'Deal Analyzer'!$B$14))</f>
        <v/>
      </c>
      <c r="H250" s="2" t="n"/>
      <c r="I250" s="2" t="n"/>
      <c r="J250" s="2" t="n"/>
      <c r="K250" s="2" t="n"/>
    </row>
    <row r="251">
      <c r="A251" s="2" t="n">
        <v>240</v>
      </c>
      <c r="B251" s="12">
        <f>MAX(0,'Deal Analyzer'!$B$4*(1+NORM.INV(RAND(),0,$J$4)))</f>
        <v/>
      </c>
      <c r="C251" s="12">
        <f>'Deal Analyzer'!$B$5*MAX(0.9,1+NORM.INV(RAND(),$J$5,$J$6))</f>
        <v/>
      </c>
      <c r="D251" s="12">
        <f>'Deal Analyzer'!$B$24+C251+B251*'Deal Analyzer'!$B$11</f>
        <v/>
      </c>
      <c r="E251" s="15">
        <f>IF(B251=0,0,(B251-D251)/B251)</f>
        <v/>
      </c>
      <c r="F251" s="2">
        <f>E251&gt;='Deal Analyzer'!$B$12</f>
        <v/>
      </c>
      <c r="G251" s="12">
        <f>IF(AND(F251,RAND()&lt;$J$7),'Deal Analyzer'!$B$8-'Deal Analyzer'!$B$10,-('Deal Analyzer'!$B$10+'Deal Analyzer'!$B$9*'Deal Analyzer'!$B$14))</f>
        <v/>
      </c>
      <c r="H251" s="2" t="n"/>
      <c r="I251" s="2" t="n"/>
      <c r="J251" s="2" t="n"/>
      <c r="K251" s="2" t="n"/>
    </row>
    <row r="252">
      <c r="A252" s="2" t="n">
        <v>241</v>
      </c>
      <c r="B252" s="12">
        <f>MAX(0,'Deal Analyzer'!$B$4*(1+NORM.INV(RAND(),0,$J$4)))</f>
        <v/>
      </c>
      <c r="C252" s="12">
        <f>'Deal Analyzer'!$B$5*MAX(0.9,1+NORM.INV(RAND(),$J$5,$J$6))</f>
        <v/>
      </c>
      <c r="D252" s="12">
        <f>'Deal Analyzer'!$B$24+C252+B252*'Deal Analyzer'!$B$11</f>
        <v/>
      </c>
      <c r="E252" s="15">
        <f>IF(B252=0,0,(B252-D252)/B252)</f>
        <v/>
      </c>
      <c r="F252" s="2">
        <f>E252&gt;='Deal Analyzer'!$B$12</f>
        <v/>
      </c>
      <c r="G252" s="12">
        <f>IF(AND(F252,RAND()&lt;$J$7),'Deal Analyzer'!$B$8-'Deal Analyzer'!$B$10,-('Deal Analyzer'!$B$10+'Deal Analyzer'!$B$9*'Deal Analyzer'!$B$14))</f>
        <v/>
      </c>
      <c r="H252" s="2" t="n"/>
      <c r="I252" s="2" t="n"/>
      <c r="J252" s="2" t="n"/>
      <c r="K252" s="2" t="n"/>
    </row>
    <row r="253">
      <c r="A253" s="2" t="n">
        <v>242</v>
      </c>
      <c r="B253" s="12">
        <f>MAX(0,'Deal Analyzer'!$B$4*(1+NORM.INV(RAND(),0,$J$4)))</f>
        <v/>
      </c>
      <c r="C253" s="12">
        <f>'Deal Analyzer'!$B$5*MAX(0.9,1+NORM.INV(RAND(),$J$5,$J$6))</f>
        <v/>
      </c>
      <c r="D253" s="12">
        <f>'Deal Analyzer'!$B$24+C253+B253*'Deal Analyzer'!$B$11</f>
        <v/>
      </c>
      <c r="E253" s="15">
        <f>IF(B253=0,0,(B253-D253)/B253)</f>
        <v/>
      </c>
      <c r="F253" s="2">
        <f>E253&gt;='Deal Analyzer'!$B$12</f>
        <v/>
      </c>
      <c r="G253" s="12">
        <f>IF(AND(F253,RAND()&lt;$J$7),'Deal Analyzer'!$B$8-'Deal Analyzer'!$B$10,-('Deal Analyzer'!$B$10+'Deal Analyzer'!$B$9*'Deal Analyzer'!$B$14))</f>
        <v/>
      </c>
      <c r="H253" s="2" t="n"/>
      <c r="I253" s="2" t="n"/>
      <c r="J253" s="2" t="n"/>
      <c r="K253" s="2" t="n"/>
    </row>
    <row r="254">
      <c r="A254" s="2" t="n">
        <v>243</v>
      </c>
      <c r="B254" s="12">
        <f>MAX(0,'Deal Analyzer'!$B$4*(1+NORM.INV(RAND(),0,$J$4)))</f>
        <v/>
      </c>
      <c r="C254" s="12">
        <f>'Deal Analyzer'!$B$5*MAX(0.9,1+NORM.INV(RAND(),$J$5,$J$6))</f>
        <v/>
      </c>
      <c r="D254" s="12">
        <f>'Deal Analyzer'!$B$24+C254+B254*'Deal Analyzer'!$B$11</f>
        <v/>
      </c>
      <c r="E254" s="15">
        <f>IF(B254=0,0,(B254-D254)/B254)</f>
        <v/>
      </c>
      <c r="F254" s="2">
        <f>E254&gt;='Deal Analyzer'!$B$12</f>
        <v/>
      </c>
      <c r="G254" s="12">
        <f>IF(AND(F254,RAND()&lt;$J$7),'Deal Analyzer'!$B$8-'Deal Analyzer'!$B$10,-('Deal Analyzer'!$B$10+'Deal Analyzer'!$B$9*'Deal Analyzer'!$B$14))</f>
        <v/>
      </c>
      <c r="H254" s="2" t="n"/>
      <c r="I254" s="2" t="n"/>
      <c r="J254" s="2" t="n"/>
      <c r="K254" s="2" t="n"/>
    </row>
    <row r="255">
      <c r="A255" s="2" t="n">
        <v>244</v>
      </c>
      <c r="B255" s="12">
        <f>MAX(0,'Deal Analyzer'!$B$4*(1+NORM.INV(RAND(),0,$J$4)))</f>
        <v/>
      </c>
      <c r="C255" s="12">
        <f>'Deal Analyzer'!$B$5*MAX(0.9,1+NORM.INV(RAND(),$J$5,$J$6))</f>
        <v/>
      </c>
      <c r="D255" s="12">
        <f>'Deal Analyzer'!$B$24+C255+B255*'Deal Analyzer'!$B$11</f>
        <v/>
      </c>
      <c r="E255" s="15">
        <f>IF(B255=0,0,(B255-D255)/B255)</f>
        <v/>
      </c>
      <c r="F255" s="2">
        <f>E255&gt;='Deal Analyzer'!$B$12</f>
        <v/>
      </c>
      <c r="G255" s="12">
        <f>IF(AND(F255,RAND()&lt;$J$7),'Deal Analyzer'!$B$8-'Deal Analyzer'!$B$10,-('Deal Analyzer'!$B$10+'Deal Analyzer'!$B$9*'Deal Analyzer'!$B$14))</f>
        <v/>
      </c>
      <c r="H255" s="2" t="n"/>
      <c r="I255" s="2" t="n"/>
      <c r="J255" s="2" t="n"/>
      <c r="K255" s="2" t="n"/>
    </row>
    <row r="256">
      <c r="A256" s="2" t="n">
        <v>245</v>
      </c>
      <c r="B256" s="12">
        <f>MAX(0,'Deal Analyzer'!$B$4*(1+NORM.INV(RAND(),0,$J$4)))</f>
        <v/>
      </c>
      <c r="C256" s="12">
        <f>'Deal Analyzer'!$B$5*MAX(0.9,1+NORM.INV(RAND(),$J$5,$J$6))</f>
        <v/>
      </c>
      <c r="D256" s="12">
        <f>'Deal Analyzer'!$B$24+C256+B256*'Deal Analyzer'!$B$11</f>
        <v/>
      </c>
      <c r="E256" s="15">
        <f>IF(B256=0,0,(B256-D256)/B256)</f>
        <v/>
      </c>
      <c r="F256" s="2">
        <f>E256&gt;='Deal Analyzer'!$B$12</f>
        <v/>
      </c>
      <c r="G256" s="12">
        <f>IF(AND(F256,RAND()&lt;$J$7),'Deal Analyzer'!$B$8-'Deal Analyzer'!$B$10,-('Deal Analyzer'!$B$10+'Deal Analyzer'!$B$9*'Deal Analyzer'!$B$14))</f>
        <v/>
      </c>
      <c r="H256" s="2" t="n"/>
      <c r="I256" s="2" t="n"/>
      <c r="J256" s="2" t="n"/>
      <c r="K256" s="2" t="n"/>
    </row>
    <row r="257">
      <c r="A257" s="2" t="n">
        <v>246</v>
      </c>
      <c r="B257" s="12">
        <f>MAX(0,'Deal Analyzer'!$B$4*(1+NORM.INV(RAND(),0,$J$4)))</f>
        <v/>
      </c>
      <c r="C257" s="12">
        <f>'Deal Analyzer'!$B$5*MAX(0.9,1+NORM.INV(RAND(),$J$5,$J$6))</f>
        <v/>
      </c>
      <c r="D257" s="12">
        <f>'Deal Analyzer'!$B$24+C257+B257*'Deal Analyzer'!$B$11</f>
        <v/>
      </c>
      <c r="E257" s="15">
        <f>IF(B257=0,0,(B257-D257)/B257)</f>
        <v/>
      </c>
      <c r="F257" s="2">
        <f>E257&gt;='Deal Analyzer'!$B$12</f>
        <v/>
      </c>
      <c r="G257" s="12">
        <f>IF(AND(F257,RAND()&lt;$J$7),'Deal Analyzer'!$B$8-'Deal Analyzer'!$B$10,-('Deal Analyzer'!$B$10+'Deal Analyzer'!$B$9*'Deal Analyzer'!$B$14))</f>
        <v/>
      </c>
      <c r="H257" s="2" t="n"/>
      <c r="I257" s="2" t="n"/>
      <c r="J257" s="2" t="n"/>
      <c r="K257" s="2" t="n"/>
    </row>
    <row r="258">
      <c r="A258" s="2" t="n">
        <v>247</v>
      </c>
      <c r="B258" s="12">
        <f>MAX(0,'Deal Analyzer'!$B$4*(1+NORM.INV(RAND(),0,$J$4)))</f>
        <v/>
      </c>
      <c r="C258" s="12">
        <f>'Deal Analyzer'!$B$5*MAX(0.9,1+NORM.INV(RAND(),$J$5,$J$6))</f>
        <v/>
      </c>
      <c r="D258" s="12">
        <f>'Deal Analyzer'!$B$24+C258+B258*'Deal Analyzer'!$B$11</f>
        <v/>
      </c>
      <c r="E258" s="15">
        <f>IF(B258=0,0,(B258-D258)/B258)</f>
        <v/>
      </c>
      <c r="F258" s="2">
        <f>E258&gt;='Deal Analyzer'!$B$12</f>
        <v/>
      </c>
      <c r="G258" s="12">
        <f>IF(AND(F258,RAND()&lt;$J$7),'Deal Analyzer'!$B$8-'Deal Analyzer'!$B$10,-('Deal Analyzer'!$B$10+'Deal Analyzer'!$B$9*'Deal Analyzer'!$B$14))</f>
        <v/>
      </c>
      <c r="H258" s="2" t="n"/>
      <c r="I258" s="2" t="n"/>
      <c r="J258" s="2" t="n"/>
      <c r="K258" s="2" t="n"/>
    </row>
    <row r="259">
      <c r="A259" s="2" t="n">
        <v>248</v>
      </c>
      <c r="B259" s="12">
        <f>MAX(0,'Deal Analyzer'!$B$4*(1+NORM.INV(RAND(),0,$J$4)))</f>
        <v/>
      </c>
      <c r="C259" s="12">
        <f>'Deal Analyzer'!$B$5*MAX(0.9,1+NORM.INV(RAND(),$J$5,$J$6))</f>
        <v/>
      </c>
      <c r="D259" s="12">
        <f>'Deal Analyzer'!$B$24+C259+B259*'Deal Analyzer'!$B$11</f>
        <v/>
      </c>
      <c r="E259" s="15">
        <f>IF(B259=0,0,(B259-D259)/B259)</f>
        <v/>
      </c>
      <c r="F259" s="2">
        <f>E259&gt;='Deal Analyzer'!$B$12</f>
        <v/>
      </c>
      <c r="G259" s="12">
        <f>IF(AND(F259,RAND()&lt;$J$7),'Deal Analyzer'!$B$8-'Deal Analyzer'!$B$10,-('Deal Analyzer'!$B$10+'Deal Analyzer'!$B$9*'Deal Analyzer'!$B$14))</f>
        <v/>
      </c>
      <c r="H259" s="2" t="n"/>
      <c r="I259" s="2" t="n"/>
      <c r="J259" s="2" t="n"/>
      <c r="K259" s="2" t="n"/>
    </row>
    <row r="260">
      <c r="A260" s="2" t="n">
        <v>249</v>
      </c>
      <c r="B260" s="12">
        <f>MAX(0,'Deal Analyzer'!$B$4*(1+NORM.INV(RAND(),0,$J$4)))</f>
        <v/>
      </c>
      <c r="C260" s="12">
        <f>'Deal Analyzer'!$B$5*MAX(0.9,1+NORM.INV(RAND(),$J$5,$J$6))</f>
        <v/>
      </c>
      <c r="D260" s="12">
        <f>'Deal Analyzer'!$B$24+C260+B260*'Deal Analyzer'!$B$11</f>
        <v/>
      </c>
      <c r="E260" s="15">
        <f>IF(B260=0,0,(B260-D260)/B260)</f>
        <v/>
      </c>
      <c r="F260" s="2">
        <f>E260&gt;='Deal Analyzer'!$B$12</f>
        <v/>
      </c>
      <c r="G260" s="12">
        <f>IF(AND(F260,RAND()&lt;$J$7),'Deal Analyzer'!$B$8-'Deal Analyzer'!$B$10,-('Deal Analyzer'!$B$10+'Deal Analyzer'!$B$9*'Deal Analyzer'!$B$14))</f>
        <v/>
      </c>
      <c r="H260" s="2" t="n"/>
      <c r="I260" s="2" t="n"/>
      <c r="J260" s="2" t="n"/>
      <c r="K260" s="2" t="n"/>
    </row>
    <row r="261">
      <c r="A261" s="2" t="n">
        <v>250</v>
      </c>
      <c r="B261" s="12">
        <f>MAX(0,'Deal Analyzer'!$B$4*(1+NORM.INV(RAND(),0,$J$4)))</f>
        <v/>
      </c>
      <c r="C261" s="12">
        <f>'Deal Analyzer'!$B$5*MAX(0.9,1+NORM.INV(RAND(),$J$5,$J$6))</f>
        <v/>
      </c>
      <c r="D261" s="12">
        <f>'Deal Analyzer'!$B$24+C261+B261*'Deal Analyzer'!$B$11</f>
        <v/>
      </c>
      <c r="E261" s="15">
        <f>IF(B261=0,0,(B261-D261)/B261)</f>
        <v/>
      </c>
      <c r="F261" s="2">
        <f>E261&gt;='Deal Analyzer'!$B$12</f>
        <v/>
      </c>
      <c r="G261" s="12">
        <f>IF(AND(F261,RAND()&lt;$J$7),'Deal Analyzer'!$B$8-'Deal Analyzer'!$B$10,-('Deal Analyzer'!$B$10+'Deal Analyzer'!$B$9*'Deal Analyzer'!$B$14))</f>
        <v/>
      </c>
      <c r="H261" s="2" t="n"/>
      <c r="I261" s="2" t="n"/>
      <c r="J261" s="2" t="n"/>
      <c r="K261" s="2" t="n"/>
    </row>
    <row r="262">
      <c r="A262" s="2" t="n">
        <v>251</v>
      </c>
      <c r="B262" s="12">
        <f>MAX(0,'Deal Analyzer'!$B$4*(1+NORM.INV(RAND(),0,$J$4)))</f>
        <v/>
      </c>
      <c r="C262" s="12">
        <f>'Deal Analyzer'!$B$5*MAX(0.9,1+NORM.INV(RAND(),$J$5,$J$6))</f>
        <v/>
      </c>
      <c r="D262" s="12">
        <f>'Deal Analyzer'!$B$24+C262+B262*'Deal Analyzer'!$B$11</f>
        <v/>
      </c>
      <c r="E262" s="15">
        <f>IF(B262=0,0,(B262-D262)/B262)</f>
        <v/>
      </c>
      <c r="F262" s="2">
        <f>E262&gt;='Deal Analyzer'!$B$12</f>
        <v/>
      </c>
      <c r="G262" s="12">
        <f>IF(AND(F262,RAND()&lt;$J$7),'Deal Analyzer'!$B$8-'Deal Analyzer'!$B$10,-('Deal Analyzer'!$B$10+'Deal Analyzer'!$B$9*'Deal Analyzer'!$B$14))</f>
        <v/>
      </c>
      <c r="H262" s="2" t="n"/>
      <c r="I262" s="2" t="n"/>
      <c r="J262" s="2" t="n"/>
      <c r="K262" s="2" t="n"/>
    </row>
    <row r="263">
      <c r="A263" s="2" t="n">
        <v>252</v>
      </c>
      <c r="B263" s="12">
        <f>MAX(0,'Deal Analyzer'!$B$4*(1+NORM.INV(RAND(),0,$J$4)))</f>
        <v/>
      </c>
      <c r="C263" s="12">
        <f>'Deal Analyzer'!$B$5*MAX(0.9,1+NORM.INV(RAND(),$J$5,$J$6))</f>
        <v/>
      </c>
      <c r="D263" s="12">
        <f>'Deal Analyzer'!$B$24+C263+B263*'Deal Analyzer'!$B$11</f>
        <v/>
      </c>
      <c r="E263" s="15">
        <f>IF(B263=0,0,(B263-D263)/B263)</f>
        <v/>
      </c>
      <c r="F263" s="2">
        <f>E263&gt;='Deal Analyzer'!$B$12</f>
        <v/>
      </c>
      <c r="G263" s="12">
        <f>IF(AND(F263,RAND()&lt;$J$7),'Deal Analyzer'!$B$8-'Deal Analyzer'!$B$10,-('Deal Analyzer'!$B$10+'Deal Analyzer'!$B$9*'Deal Analyzer'!$B$14))</f>
        <v/>
      </c>
      <c r="H263" s="2" t="n"/>
      <c r="I263" s="2" t="n"/>
      <c r="J263" s="2" t="n"/>
      <c r="K263" s="2" t="n"/>
    </row>
    <row r="264">
      <c r="A264" s="2" t="n">
        <v>253</v>
      </c>
      <c r="B264" s="12">
        <f>MAX(0,'Deal Analyzer'!$B$4*(1+NORM.INV(RAND(),0,$J$4)))</f>
        <v/>
      </c>
      <c r="C264" s="12">
        <f>'Deal Analyzer'!$B$5*MAX(0.9,1+NORM.INV(RAND(),$J$5,$J$6))</f>
        <v/>
      </c>
      <c r="D264" s="12">
        <f>'Deal Analyzer'!$B$24+C264+B264*'Deal Analyzer'!$B$11</f>
        <v/>
      </c>
      <c r="E264" s="15">
        <f>IF(B264=0,0,(B264-D264)/B264)</f>
        <v/>
      </c>
      <c r="F264" s="2">
        <f>E264&gt;='Deal Analyzer'!$B$12</f>
        <v/>
      </c>
      <c r="G264" s="12">
        <f>IF(AND(F264,RAND()&lt;$J$7),'Deal Analyzer'!$B$8-'Deal Analyzer'!$B$10,-('Deal Analyzer'!$B$10+'Deal Analyzer'!$B$9*'Deal Analyzer'!$B$14))</f>
        <v/>
      </c>
      <c r="H264" s="2" t="n"/>
      <c r="I264" s="2" t="n"/>
      <c r="J264" s="2" t="n"/>
      <c r="K264" s="2" t="n"/>
    </row>
    <row r="265">
      <c r="A265" s="2" t="n">
        <v>254</v>
      </c>
      <c r="B265" s="12">
        <f>MAX(0,'Deal Analyzer'!$B$4*(1+NORM.INV(RAND(),0,$J$4)))</f>
        <v/>
      </c>
      <c r="C265" s="12">
        <f>'Deal Analyzer'!$B$5*MAX(0.9,1+NORM.INV(RAND(),$J$5,$J$6))</f>
        <v/>
      </c>
      <c r="D265" s="12">
        <f>'Deal Analyzer'!$B$24+C265+B265*'Deal Analyzer'!$B$11</f>
        <v/>
      </c>
      <c r="E265" s="15">
        <f>IF(B265=0,0,(B265-D265)/B265)</f>
        <v/>
      </c>
      <c r="F265" s="2">
        <f>E265&gt;='Deal Analyzer'!$B$12</f>
        <v/>
      </c>
      <c r="G265" s="12">
        <f>IF(AND(F265,RAND()&lt;$J$7),'Deal Analyzer'!$B$8-'Deal Analyzer'!$B$10,-('Deal Analyzer'!$B$10+'Deal Analyzer'!$B$9*'Deal Analyzer'!$B$14))</f>
        <v/>
      </c>
      <c r="H265" s="2" t="n"/>
      <c r="I265" s="2" t="n"/>
      <c r="J265" s="2" t="n"/>
      <c r="K265" s="2" t="n"/>
    </row>
    <row r="266">
      <c r="A266" s="2" t="n">
        <v>255</v>
      </c>
      <c r="B266" s="12">
        <f>MAX(0,'Deal Analyzer'!$B$4*(1+NORM.INV(RAND(),0,$J$4)))</f>
        <v/>
      </c>
      <c r="C266" s="12">
        <f>'Deal Analyzer'!$B$5*MAX(0.9,1+NORM.INV(RAND(),$J$5,$J$6))</f>
        <v/>
      </c>
      <c r="D266" s="12">
        <f>'Deal Analyzer'!$B$24+C266+B266*'Deal Analyzer'!$B$11</f>
        <v/>
      </c>
      <c r="E266" s="15">
        <f>IF(B266=0,0,(B266-D266)/B266)</f>
        <v/>
      </c>
      <c r="F266" s="2">
        <f>E266&gt;='Deal Analyzer'!$B$12</f>
        <v/>
      </c>
      <c r="G266" s="12">
        <f>IF(AND(F266,RAND()&lt;$J$7),'Deal Analyzer'!$B$8-'Deal Analyzer'!$B$10,-('Deal Analyzer'!$B$10+'Deal Analyzer'!$B$9*'Deal Analyzer'!$B$14))</f>
        <v/>
      </c>
      <c r="H266" s="2" t="n"/>
      <c r="I266" s="2" t="n"/>
      <c r="J266" s="2" t="n"/>
      <c r="K266" s="2" t="n"/>
    </row>
    <row r="267">
      <c r="A267" s="2" t="n">
        <v>256</v>
      </c>
      <c r="B267" s="12">
        <f>MAX(0,'Deal Analyzer'!$B$4*(1+NORM.INV(RAND(),0,$J$4)))</f>
        <v/>
      </c>
      <c r="C267" s="12">
        <f>'Deal Analyzer'!$B$5*MAX(0.9,1+NORM.INV(RAND(),$J$5,$J$6))</f>
        <v/>
      </c>
      <c r="D267" s="12">
        <f>'Deal Analyzer'!$B$24+C267+B267*'Deal Analyzer'!$B$11</f>
        <v/>
      </c>
      <c r="E267" s="15">
        <f>IF(B267=0,0,(B267-D267)/B267)</f>
        <v/>
      </c>
      <c r="F267" s="2">
        <f>E267&gt;='Deal Analyzer'!$B$12</f>
        <v/>
      </c>
      <c r="G267" s="12">
        <f>IF(AND(F267,RAND()&lt;$J$7),'Deal Analyzer'!$B$8-'Deal Analyzer'!$B$10,-('Deal Analyzer'!$B$10+'Deal Analyzer'!$B$9*'Deal Analyzer'!$B$14))</f>
        <v/>
      </c>
      <c r="H267" s="2" t="n"/>
      <c r="I267" s="2" t="n"/>
      <c r="J267" s="2" t="n"/>
      <c r="K267" s="2" t="n"/>
    </row>
    <row r="268">
      <c r="A268" s="2" t="n">
        <v>257</v>
      </c>
      <c r="B268" s="12">
        <f>MAX(0,'Deal Analyzer'!$B$4*(1+NORM.INV(RAND(),0,$J$4)))</f>
        <v/>
      </c>
      <c r="C268" s="12">
        <f>'Deal Analyzer'!$B$5*MAX(0.9,1+NORM.INV(RAND(),$J$5,$J$6))</f>
        <v/>
      </c>
      <c r="D268" s="12">
        <f>'Deal Analyzer'!$B$24+C268+B268*'Deal Analyzer'!$B$11</f>
        <v/>
      </c>
      <c r="E268" s="15">
        <f>IF(B268=0,0,(B268-D268)/B268)</f>
        <v/>
      </c>
      <c r="F268" s="2">
        <f>E268&gt;='Deal Analyzer'!$B$12</f>
        <v/>
      </c>
      <c r="G268" s="12">
        <f>IF(AND(F268,RAND()&lt;$J$7),'Deal Analyzer'!$B$8-'Deal Analyzer'!$B$10,-('Deal Analyzer'!$B$10+'Deal Analyzer'!$B$9*'Deal Analyzer'!$B$14))</f>
        <v/>
      </c>
      <c r="H268" s="2" t="n"/>
      <c r="I268" s="2" t="n"/>
      <c r="J268" s="2" t="n"/>
      <c r="K268" s="2" t="n"/>
    </row>
    <row r="269">
      <c r="A269" s="2" t="n">
        <v>258</v>
      </c>
      <c r="B269" s="12">
        <f>MAX(0,'Deal Analyzer'!$B$4*(1+NORM.INV(RAND(),0,$J$4)))</f>
        <v/>
      </c>
      <c r="C269" s="12">
        <f>'Deal Analyzer'!$B$5*MAX(0.9,1+NORM.INV(RAND(),$J$5,$J$6))</f>
        <v/>
      </c>
      <c r="D269" s="12">
        <f>'Deal Analyzer'!$B$24+C269+B269*'Deal Analyzer'!$B$11</f>
        <v/>
      </c>
      <c r="E269" s="15">
        <f>IF(B269=0,0,(B269-D269)/B269)</f>
        <v/>
      </c>
      <c r="F269" s="2">
        <f>E269&gt;='Deal Analyzer'!$B$12</f>
        <v/>
      </c>
      <c r="G269" s="12">
        <f>IF(AND(F269,RAND()&lt;$J$7),'Deal Analyzer'!$B$8-'Deal Analyzer'!$B$10,-('Deal Analyzer'!$B$10+'Deal Analyzer'!$B$9*'Deal Analyzer'!$B$14))</f>
        <v/>
      </c>
      <c r="H269" s="2" t="n"/>
      <c r="I269" s="2" t="n"/>
      <c r="J269" s="2" t="n"/>
      <c r="K269" s="2" t="n"/>
    </row>
    <row r="270">
      <c r="A270" s="2" t="n">
        <v>259</v>
      </c>
      <c r="B270" s="12">
        <f>MAX(0,'Deal Analyzer'!$B$4*(1+NORM.INV(RAND(),0,$J$4)))</f>
        <v/>
      </c>
      <c r="C270" s="12">
        <f>'Deal Analyzer'!$B$5*MAX(0.9,1+NORM.INV(RAND(),$J$5,$J$6))</f>
        <v/>
      </c>
      <c r="D270" s="12">
        <f>'Deal Analyzer'!$B$24+C270+B270*'Deal Analyzer'!$B$11</f>
        <v/>
      </c>
      <c r="E270" s="15">
        <f>IF(B270=0,0,(B270-D270)/B270)</f>
        <v/>
      </c>
      <c r="F270" s="2">
        <f>E270&gt;='Deal Analyzer'!$B$12</f>
        <v/>
      </c>
      <c r="G270" s="12">
        <f>IF(AND(F270,RAND()&lt;$J$7),'Deal Analyzer'!$B$8-'Deal Analyzer'!$B$10,-('Deal Analyzer'!$B$10+'Deal Analyzer'!$B$9*'Deal Analyzer'!$B$14))</f>
        <v/>
      </c>
      <c r="H270" s="2" t="n"/>
      <c r="I270" s="2" t="n"/>
      <c r="J270" s="2" t="n"/>
      <c r="K270" s="2" t="n"/>
    </row>
    <row r="271">
      <c r="A271" s="2" t="n">
        <v>260</v>
      </c>
      <c r="B271" s="12">
        <f>MAX(0,'Deal Analyzer'!$B$4*(1+NORM.INV(RAND(),0,$J$4)))</f>
        <v/>
      </c>
      <c r="C271" s="12">
        <f>'Deal Analyzer'!$B$5*MAX(0.9,1+NORM.INV(RAND(),$J$5,$J$6))</f>
        <v/>
      </c>
      <c r="D271" s="12">
        <f>'Deal Analyzer'!$B$24+C271+B271*'Deal Analyzer'!$B$11</f>
        <v/>
      </c>
      <c r="E271" s="15">
        <f>IF(B271=0,0,(B271-D271)/B271)</f>
        <v/>
      </c>
      <c r="F271" s="2">
        <f>E271&gt;='Deal Analyzer'!$B$12</f>
        <v/>
      </c>
      <c r="G271" s="12">
        <f>IF(AND(F271,RAND()&lt;$J$7),'Deal Analyzer'!$B$8-'Deal Analyzer'!$B$10,-('Deal Analyzer'!$B$10+'Deal Analyzer'!$B$9*'Deal Analyzer'!$B$14))</f>
        <v/>
      </c>
      <c r="H271" s="2" t="n"/>
      <c r="I271" s="2" t="n"/>
      <c r="J271" s="2" t="n"/>
      <c r="K271" s="2" t="n"/>
    </row>
    <row r="272">
      <c r="A272" s="2" t="n">
        <v>261</v>
      </c>
      <c r="B272" s="12">
        <f>MAX(0,'Deal Analyzer'!$B$4*(1+NORM.INV(RAND(),0,$J$4)))</f>
        <v/>
      </c>
      <c r="C272" s="12">
        <f>'Deal Analyzer'!$B$5*MAX(0.9,1+NORM.INV(RAND(),$J$5,$J$6))</f>
        <v/>
      </c>
      <c r="D272" s="12">
        <f>'Deal Analyzer'!$B$24+C272+B272*'Deal Analyzer'!$B$11</f>
        <v/>
      </c>
      <c r="E272" s="15">
        <f>IF(B272=0,0,(B272-D272)/B272)</f>
        <v/>
      </c>
      <c r="F272" s="2">
        <f>E272&gt;='Deal Analyzer'!$B$12</f>
        <v/>
      </c>
      <c r="G272" s="12">
        <f>IF(AND(F272,RAND()&lt;$J$7),'Deal Analyzer'!$B$8-'Deal Analyzer'!$B$10,-('Deal Analyzer'!$B$10+'Deal Analyzer'!$B$9*'Deal Analyzer'!$B$14))</f>
        <v/>
      </c>
      <c r="H272" s="2" t="n"/>
      <c r="I272" s="2" t="n"/>
      <c r="J272" s="2" t="n"/>
      <c r="K272" s="2" t="n"/>
    </row>
    <row r="273">
      <c r="A273" s="2" t="n">
        <v>262</v>
      </c>
      <c r="B273" s="12">
        <f>MAX(0,'Deal Analyzer'!$B$4*(1+NORM.INV(RAND(),0,$J$4)))</f>
        <v/>
      </c>
      <c r="C273" s="12">
        <f>'Deal Analyzer'!$B$5*MAX(0.9,1+NORM.INV(RAND(),$J$5,$J$6))</f>
        <v/>
      </c>
      <c r="D273" s="12">
        <f>'Deal Analyzer'!$B$24+C273+B273*'Deal Analyzer'!$B$11</f>
        <v/>
      </c>
      <c r="E273" s="15">
        <f>IF(B273=0,0,(B273-D273)/B273)</f>
        <v/>
      </c>
      <c r="F273" s="2">
        <f>E273&gt;='Deal Analyzer'!$B$12</f>
        <v/>
      </c>
      <c r="G273" s="12">
        <f>IF(AND(F273,RAND()&lt;$J$7),'Deal Analyzer'!$B$8-'Deal Analyzer'!$B$10,-('Deal Analyzer'!$B$10+'Deal Analyzer'!$B$9*'Deal Analyzer'!$B$14))</f>
        <v/>
      </c>
      <c r="H273" s="2" t="n"/>
      <c r="I273" s="2" t="n"/>
      <c r="J273" s="2" t="n"/>
      <c r="K273" s="2" t="n"/>
    </row>
    <row r="274">
      <c r="A274" s="2" t="n">
        <v>263</v>
      </c>
      <c r="B274" s="12">
        <f>MAX(0,'Deal Analyzer'!$B$4*(1+NORM.INV(RAND(),0,$J$4)))</f>
        <v/>
      </c>
      <c r="C274" s="12">
        <f>'Deal Analyzer'!$B$5*MAX(0.9,1+NORM.INV(RAND(),$J$5,$J$6))</f>
        <v/>
      </c>
      <c r="D274" s="12">
        <f>'Deal Analyzer'!$B$24+C274+B274*'Deal Analyzer'!$B$11</f>
        <v/>
      </c>
      <c r="E274" s="15">
        <f>IF(B274=0,0,(B274-D274)/B274)</f>
        <v/>
      </c>
      <c r="F274" s="2">
        <f>E274&gt;='Deal Analyzer'!$B$12</f>
        <v/>
      </c>
      <c r="G274" s="12">
        <f>IF(AND(F274,RAND()&lt;$J$7),'Deal Analyzer'!$B$8-'Deal Analyzer'!$B$10,-('Deal Analyzer'!$B$10+'Deal Analyzer'!$B$9*'Deal Analyzer'!$B$14))</f>
        <v/>
      </c>
      <c r="H274" s="2" t="n"/>
      <c r="I274" s="2" t="n"/>
      <c r="J274" s="2" t="n"/>
      <c r="K274" s="2" t="n"/>
    </row>
    <row r="275">
      <c r="A275" s="2" t="n">
        <v>264</v>
      </c>
      <c r="B275" s="12">
        <f>MAX(0,'Deal Analyzer'!$B$4*(1+NORM.INV(RAND(),0,$J$4)))</f>
        <v/>
      </c>
      <c r="C275" s="12">
        <f>'Deal Analyzer'!$B$5*MAX(0.9,1+NORM.INV(RAND(),$J$5,$J$6))</f>
        <v/>
      </c>
      <c r="D275" s="12">
        <f>'Deal Analyzer'!$B$24+C275+B275*'Deal Analyzer'!$B$11</f>
        <v/>
      </c>
      <c r="E275" s="15">
        <f>IF(B275=0,0,(B275-D275)/B275)</f>
        <v/>
      </c>
      <c r="F275" s="2">
        <f>E275&gt;='Deal Analyzer'!$B$12</f>
        <v/>
      </c>
      <c r="G275" s="12">
        <f>IF(AND(F275,RAND()&lt;$J$7),'Deal Analyzer'!$B$8-'Deal Analyzer'!$B$10,-('Deal Analyzer'!$B$10+'Deal Analyzer'!$B$9*'Deal Analyzer'!$B$14))</f>
        <v/>
      </c>
      <c r="H275" s="2" t="n"/>
      <c r="I275" s="2" t="n"/>
      <c r="J275" s="2" t="n"/>
      <c r="K275" s="2" t="n"/>
    </row>
    <row r="276">
      <c r="A276" s="2" t="n">
        <v>265</v>
      </c>
      <c r="B276" s="12">
        <f>MAX(0,'Deal Analyzer'!$B$4*(1+NORM.INV(RAND(),0,$J$4)))</f>
        <v/>
      </c>
      <c r="C276" s="12">
        <f>'Deal Analyzer'!$B$5*MAX(0.9,1+NORM.INV(RAND(),$J$5,$J$6))</f>
        <v/>
      </c>
      <c r="D276" s="12">
        <f>'Deal Analyzer'!$B$24+C276+B276*'Deal Analyzer'!$B$11</f>
        <v/>
      </c>
      <c r="E276" s="15">
        <f>IF(B276=0,0,(B276-D276)/B276)</f>
        <v/>
      </c>
      <c r="F276" s="2">
        <f>E276&gt;='Deal Analyzer'!$B$12</f>
        <v/>
      </c>
      <c r="G276" s="12">
        <f>IF(AND(F276,RAND()&lt;$J$7),'Deal Analyzer'!$B$8-'Deal Analyzer'!$B$10,-('Deal Analyzer'!$B$10+'Deal Analyzer'!$B$9*'Deal Analyzer'!$B$14))</f>
        <v/>
      </c>
      <c r="H276" s="2" t="n"/>
      <c r="I276" s="2" t="n"/>
      <c r="J276" s="2" t="n"/>
      <c r="K276" s="2" t="n"/>
    </row>
    <row r="277">
      <c r="A277" s="2" t="n">
        <v>266</v>
      </c>
      <c r="B277" s="12">
        <f>MAX(0,'Deal Analyzer'!$B$4*(1+NORM.INV(RAND(),0,$J$4)))</f>
        <v/>
      </c>
      <c r="C277" s="12">
        <f>'Deal Analyzer'!$B$5*MAX(0.9,1+NORM.INV(RAND(),$J$5,$J$6))</f>
        <v/>
      </c>
      <c r="D277" s="12">
        <f>'Deal Analyzer'!$B$24+C277+B277*'Deal Analyzer'!$B$11</f>
        <v/>
      </c>
      <c r="E277" s="15">
        <f>IF(B277=0,0,(B277-D277)/B277)</f>
        <v/>
      </c>
      <c r="F277" s="2">
        <f>E277&gt;='Deal Analyzer'!$B$12</f>
        <v/>
      </c>
      <c r="G277" s="12">
        <f>IF(AND(F277,RAND()&lt;$J$7),'Deal Analyzer'!$B$8-'Deal Analyzer'!$B$10,-('Deal Analyzer'!$B$10+'Deal Analyzer'!$B$9*'Deal Analyzer'!$B$14))</f>
        <v/>
      </c>
      <c r="H277" s="2" t="n"/>
      <c r="I277" s="2" t="n"/>
      <c r="J277" s="2" t="n"/>
      <c r="K277" s="2" t="n"/>
    </row>
    <row r="278">
      <c r="A278" s="2" t="n">
        <v>267</v>
      </c>
      <c r="B278" s="12">
        <f>MAX(0,'Deal Analyzer'!$B$4*(1+NORM.INV(RAND(),0,$J$4)))</f>
        <v/>
      </c>
      <c r="C278" s="12">
        <f>'Deal Analyzer'!$B$5*MAX(0.9,1+NORM.INV(RAND(),$J$5,$J$6))</f>
        <v/>
      </c>
      <c r="D278" s="12">
        <f>'Deal Analyzer'!$B$24+C278+B278*'Deal Analyzer'!$B$11</f>
        <v/>
      </c>
      <c r="E278" s="15">
        <f>IF(B278=0,0,(B278-D278)/B278)</f>
        <v/>
      </c>
      <c r="F278" s="2">
        <f>E278&gt;='Deal Analyzer'!$B$12</f>
        <v/>
      </c>
      <c r="G278" s="12">
        <f>IF(AND(F278,RAND()&lt;$J$7),'Deal Analyzer'!$B$8-'Deal Analyzer'!$B$10,-('Deal Analyzer'!$B$10+'Deal Analyzer'!$B$9*'Deal Analyzer'!$B$14))</f>
        <v/>
      </c>
      <c r="H278" s="2" t="n"/>
      <c r="I278" s="2" t="n"/>
      <c r="J278" s="2" t="n"/>
      <c r="K278" s="2" t="n"/>
    </row>
    <row r="279">
      <c r="A279" s="2" t="n">
        <v>268</v>
      </c>
      <c r="B279" s="12">
        <f>MAX(0,'Deal Analyzer'!$B$4*(1+NORM.INV(RAND(),0,$J$4)))</f>
        <v/>
      </c>
      <c r="C279" s="12">
        <f>'Deal Analyzer'!$B$5*MAX(0.9,1+NORM.INV(RAND(),$J$5,$J$6))</f>
        <v/>
      </c>
      <c r="D279" s="12">
        <f>'Deal Analyzer'!$B$24+C279+B279*'Deal Analyzer'!$B$11</f>
        <v/>
      </c>
      <c r="E279" s="15">
        <f>IF(B279=0,0,(B279-D279)/B279)</f>
        <v/>
      </c>
      <c r="F279" s="2">
        <f>E279&gt;='Deal Analyzer'!$B$12</f>
        <v/>
      </c>
      <c r="G279" s="12">
        <f>IF(AND(F279,RAND()&lt;$J$7),'Deal Analyzer'!$B$8-'Deal Analyzer'!$B$10,-('Deal Analyzer'!$B$10+'Deal Analyzer'!$B$9*'Deal Analyzer'!$B$14))</f>
        <v/>
      </c>
      <c r="H279" s="2" t="n"/>
      <c r="I279" s="2" t="n"/>
      <c r="J279" s="2" t="n"/>
      <c r="K279" s="2" t="n"/>
    </row>
    <row r="280">
      <c r="A280" s="2" t="n">
        <v>269</v>
      </c>
      <c r="B280" s="12">
        <f>MAX(0,'Deal Analyzer'!$B$4*(1+NORM.INV(RAND(),0,$J$4)))</f>
        <v/>
      </c>
      <c r="C280" s="12">
        <f>'Deal Analyzer'!$B$5*MAX(0.9,1+NORM.INV(RAND(),$J$5,$J$6))</f>
        <v/>
      </c>
      <c r="D280" s="12">
        <f>'Deal Analyzer'!$B$24+C280+B280*'Deal Analyzer'!$B$11</f>
        <v/>
      </c>
      <c r="E280" s="15">
        <f>IF(B280=0,0,(B280-D280)/B280)</f>
        <v/>
      </c>
      <c r="F280" s="2">
        <f>E280&gt;='Deal Analyzer'!$B$12</f>
        <v/>
      </c>
      <c r="G280" s="12">
        <f>IF(AND(F280,RAND()&lt;$J$7),'Deal Analyzer'!$B$8-'Deal Analyzer'!$B$10,-('Deal Analyzer'!$B$10+'Deal Analyzer'!$B$9*'Deal Analyzer'!$B$14))</f>
        <v/>
      </c>
      <c r="H280" s="2" t="n"/>
      <c r="I280" s="2" t="n"/>
      <c r="J280" s="2" t="n"/>
      <c r="K280" s="2" t="n"/>
    </row>
    <row r="281">
      <c r="A281" s="2" t="n">
        <v>270</v>
      </c>
      <c r="B281" s="12">
        <f>MAX(0,'Deal Analyzer'!$B$4*(1+NORM.INV(RAND(),0,$J$4)))</f>
        <v/>
      </c>
      <c r="C281" s="12">
        <f>'Deal Analyzer'!$B$5*MAX(0.9,1+NORM.INV(RAND(),$J$5,$J$6))</f>
        <v/>
      </c>
      <c r="D281" s="12">
        <f>'Deal Analyzer'!$B$24+C281+B281*'Deal Analyzer'!$B$11</f>
        <v/>
      </c>
      <c r="E281" s="15">
        <f>IF(B281=0,0,(B281-D281)/B281)</f>
        <v/>
      </c>
      <c r="F281" s="2">
        <f>E281&gt;='Deal Analyzer'!$B$12</f>
        <v/>
      </c>
      <c r="G281" s="12">
        <f>IF(AND(F281,RAND()&lt;$J$7),'Deal Analyzer'!$B$8-'Deal Analyzer'!$B$10,-('Deal Analyzer'!$B$10+'Deal Analyzer'!$B$9*'Deal Analyzer'!$B$14))</f>
        <v/>
      </c>
      <c r="H281" s="2" t="n"/>
      <c r="I281" s="2" t="n"/>
      <c r="J281" s="2" t="n"/>
      <c r="K281" s="2" t="n"/>
    </row>
    <row r="282">
      <c r="A282" s="2" t="n">
        <v>271</v>
      </c>
      <c r="B282" s="12">
        <f>MAX(0,'Deal Analyzer'!$B$4*(1+NORM.INV(RAND(),0,$J$4)))</f>
        <v/>
      </c>
      <c r="C282" s="12">
        <f>'Deal Analyzer'!$B$5*MAX(0.9,1+NORM.INV(RAND(),$J$5,$J$6))</f>
        <v/>
      </c>
      <c r="D282" s="12">
        <f>'Deal Analyzer'!$B$24+C282+B282*'Deal Analyzer'!$B$11</f>
        <v/>
      </c>
      <c r="E282" s="15">
        <f>IF(B282=0,0,(B282-D282)/B282)</f>
        <v/>
      </c>
      <c r="F282" s="2">
        <f>E282&gt;='Deal Analyzer'!$B$12</f>
        <v/>
      </c>
      <c r="G282" s="12">
        <f>IF(AND(F282,RAND()&lt;$J$7),'Deal Analyzer'!$B$8-'Deal Analyzer'!$B$10,-('Deal Analyzer'!$B$10+'Deal Analyzer'!$B$9*'Deal Analyzer'!$B$14))</f>
        <v/>
      </c>
      <c r="H282" s="2" t="n"/>
      <c r="I282" s="2" t="n"/>
      <c r="J282" s="2" t="n"/>
      <c r="K282" s="2" t="n"/>
    </row>
    <row r="283">
      <c r="A283" s="2" t="n">
        <v>272</v>
      </c>
      <c r="B283" s="12">
        <f>MAX(0,'Deal Analyzer'!$B$4*(1+NORM.INV(RAND(),0,$J$4)))</f>
        <v/>
      </c>
      <c r="C283" s="12">
        <f>'Deal Analyzer'!$B$5*MAX(0.9,1+NORM.INV(RAND(),$J$5,$J$6))</f>
        <v/>
      </c>
      <c r="D283" s="12">
        <f>'Deal Analyzer'!$B$24+C283+B283*'Deal Analyzer'!$B$11</f>
        <v/>
      </c>
      <c r="E283" s="15">
        <f>IF(B283=0,0,(B283-D283)/B283)</f>
        <v/>
      </c>
      <c r="F283" s="2">
        <f>E283&gt;='Deal Analyzer'!$B$12</f>
        <v/>
      </c>
      <c r="G283" s="12">
        <f>IF(AND(F283,RAND()&lt;$J$7),'Deal Analyzer'!$B$8-'Deal Analyzer'!$B$10,-('Deal Analyzer'!$B$10+'Deal Analyzer'!$B$9*'Deal Analyzer'!$B$14))</f>
        <v/>
      </c>
      <c r="H283" s="2" t="n"/>
      <c r="I283" s="2" t="n"/>
      <c r="J283" s="2" t="n"/>
      <c r="K283" s="2" t="n"/>
    </row>
    <row r="284">
      <c r="A284" s="2" t="n">
        <v>273</v>
      </c>
      <c r="B284" s="12">
        <f>MAX(0,'Deal Analyzer'!$B$4*(1+NORM.INV(RAND(),0,$J$4)))</f>
        <v/>
      </c>
      <c r="C284" s="12">
        <f>'Deal Analyzer'!$B$5*MAX(0.9,1+NORM.INV(RAND(),$J$5,$J$6))</f>
        <v/>
      </c>
      <c r="D284" s="12">
        <f>'Deal Analyzer'!$B$24+C284+B284*'Deal Analyzer'!$B$11</f>
        <v/>
      </c>
      <c r="E284" s="15">
        <f>IF(B284=0,0,(B284-D284)/B284)</f>
        <v/>
      </c>
      <c r="F284" s="2">
        <f>E284&gt;='Deal Analyzer'!$B$12</f>
        <v/>
      </c>
      <c r="G284" s="12">
        <f>IF(AND(F284,RAND()&lt;$J$7),'Deal Analyzer'!$B$8-'Deal Analyzer'!$B$10,-('Deal Analyzer'!$B$10+'Deal Analyzer'!$B$9*'Deal Analyzer'!$B$14))</f>
        <v/>
      </c>
      <c r="H284" s="2" t="n"/>
      <c r="I284" s="2" t="n"/>
      <c r="J284" s="2" t="n"/>
      <c r="K284" s="2" t="n"/>
    </row>
    <row r="285">
      <c r="A285" s="2" t="n">
        <v>274</v>
      </c>
      <c r="B285" s="12">
        <f>MAX(0,'Deal Analyzer'!$B$4*(1+NORM.INV(RAND(),0,$J$4)))</f>
        <v/>
      </c>
      <c r="C285" s="12">
        <f>'Deal Analyzer'!$B$5*MAX(0.9,1+NORM.INV(RAND(),$J$5,$J$6))</f>
        <v/>
      </c>
      <c r="D285" s="12">
        <f>'Deal Analyzer'!$B$24+C285+B285*'Deal Analyzer'!$B$11</f>
        <v/>
      </c>
      <c r="E285" s="15">
        <f>IF(B285=0,0,(B285-D285)/B285)</f>
        <v/>
      </c>
      <c r="F285" s="2">
        <f>E285&gt;='Deal Analyzer'!$B$12</f>
        <v/>
      </c>
      <c r="G285" s="12">
        <f>IF(AND(F285,RAND()&lt;$J$7),'Deal Analyzer'!$B$8-'Deal Analyzer'!$B$10,-('Deal Analyzer'!$B$10+'Deal Analyzer'!$B$9*'Deal Analyzer'!$B$14))</f>
        <v/>
      </c>
      <c r="H285" s="2" t="n"/>
      <c r="I285" s="2" t="n"/>
      <c r="J285" s="2" t="n"/>
      <c r="K285" s="2" t="n"/>
    </row>
    <row r="286">
      <c r="A286" s="2" t="n">
        <v>275</v>
      </c>
      <c r="B286" s="12">
        <f>MAX(0,'Deal Analyzer'!$B$4*(1+NORM.INV(RAND(),0,$J$4)))</f>
        <v/>
      </c>
      <c r="C286" s="12">
        <f>'Deal Analyzer'!$B$5*MAX(0.9,1+NORM.INV(RAND(),$J$5,$J$6))</f>
        <v/>
      </c>
      <c r="D286" s="12">
        <f>'Deal Analyzer'!$B$24+C286+B286*'Deal Analyzer'!$B$11</f>
        <v/>
      </c>
      <c r="E286" s="15">
        <f>IF(B286=0,0,(B286-D286)/B286)</f>
        <v/>
      </c>
      <c r="F286" s="2">
        <f>E286&gt;='Deal Analyzer'!$B$12</f>
        <v/>
      </c>
      <c r="G286" s="12">
        <f>IF(AND(F286,RAND()&lt;$J$7),'Deal Analyzer'!$B$8-'Deal Analyzer'!$B$10,-('Deal Analyzer'!$B$10+'Deal Analyzer'!$B$9*'Deal Analyzer'!$B$14))</f>
        <v/>
      </c>
      <c r="H286" s="2" t="n"/>
      <c r="I286" s="2" t="n"/>
      <c r="J286" s="2" t="n"/>
      <c r="K286" s="2" t="n"/>
    </row>
    <row r="287">
      <c r="A287" s="2" t="n">
        <v>276</v>
      </c>
      <c r="B287" s="12">
        <f>MAX(0,'Deal Analyzer'!$B$4*(1+NORM.INV(RAND(),0,$J$4)))</f>
        <v/>
      </c>
      <c r="C287" s="12">
        <f>'Deal Analyzer'!$B$5*MAX(0.9,1+NORM.INV(RAND(),$J$5,$J$6))</f>
        <v/>
      </c>
      <c r="D287" s="12">
        <f>'Deal Analyzer'!$B$24+C287+B287*'Deal Analyzer'!$B$11</f>
        <v/>
      </c>
      <c r="E287" s="15">
        <f>IF(B287=0,0,(B287-D287)/B287)</f>
        <v/>
      </c>
      <c r="F287" s="2">
        <f>E287&gt;='Deal Analyzer'!$B$12</f>
        <v/>
      </c>
      <c r="G287" s="12">
        <f>IF(AND(F287,RAND()&lt;$J$7),'Deal Analyzer'!$B$8-'Deal Analyzer'!$B$10,-('Deal Analyzer'!$B$10+'Deal Analyzer'!$B$9*'Deal Analyzer'!$B$14))</f>
        <v/>
      </c>
      <c r="H287" s="2" t="n"/>
      <c r="I287" s="2" t="n"/>
      <c r="J287" s="2" t="n"/>
      <c r="K287" s="2" t="n"/>
    </row>
    <row r="288">
      <c r="A288" s="2" t="n">
        <v>277</v>
      </c>
      <c r="B288" s="12">
        <f>MAX(0,'Deal Analyzer'!$B$4*(1+NORM.INV(RAND(),0,$J$4)))</f>
        <v/>
      </c>
      <c r="C288" s="12">
        <f>'Deal Analyzer'!$B$5*MAX(0.9,1+NORM.INV(RAND(),$J$5,$J$6))</f>
        <v/>
      </c>
      <c r="D288" s="12">
        <f>'Deal Analyzer'!$B$24+C288+B288*'Deal Analyzer'!$B$11</f>
        <v/>
      </c>
      <c r="E288" s="15">
        <f>IF(B288=0,0,(B288-D288)/B288)</f>
        <v/>
      </c>
      <c r="F288" s="2">
        <f>E288&gt;='Deal Analyzer'!$B$12</f>
        <v/>
      </c>
      <c r="G288" s="12">
        <f>IF(AND(F288,RAND()&lt;$J$7),'Deal Analyzer'!$B$8-'Deal Analyzer'!$B$10,-('Deal Analyzer'!$B$10+'Deal Analyzer'!$B$9*'Deal Analyzer'!$B$14))</f>
        <v/>
      </c>
      <c r="H288" s="2" t="n"/>
      <c r="I288" s="2" t="n"/>
      <c r="J288" s="2" t="n"/>
      <c r="K288" s="2" t="n"/>
    </row>
    <row r="289">
      <c r="A289" s="2" t="n">
        <v>278</v>
      </c>
      <c r="B289" s="12">
        <f>MAX(0,'Deal Analyzer'!$B$4*(1+NORM.INV(RAND(),0,$J$4)))</f>
        <v/>
      </c>
      <c r="C289" s="12">
        <f>'Deal Analyzer'!$B$5*MAX(0.9,1+NORM.INV(RAND(),$J$5,$J$6))</f>
        <v/>
      </c>
      <c r="D289" s="12">
        <f>'Deal Analyzer'!$B$24+C289+B289*'Deal Analyzer'!$B$11</f>
        <v/>
      </c>
      <c r="E289" s="15">
        <f>IF(B289=0,0,(B289-D289)/B289)</f>
        <v/>
      </c>
      <c r="F289" s="2">
        <f>E289&gt;='Deal Analyzer'!$B$12</f>
        <v/>
      </c>
      <c r="G289" s="12">
        <f>IF(AND(F289,RAND()&lt;$J$7),'Deal Analyzer'!$B$8-'Deal Analyzer'!$B$10,-('Deal Analyzer'!$B$10+'Deal Analyzer'!$B$9*'Deal Analyzer'!$B$14))</f>
        <v/>
      </c>
      <c r="H289" s="2" t="n"/>
      <c r="I289" s="2" t="n"/>
      <c r="J289" s="2" t="n"/>
      <c r="K289" s="2" t="n"/>
    </row>
    <row r="290">
      <c r="A290" s="2" t="n">
        <v>279</v>
      </c>
      <c r="B290" s="12">
        <f>MAX(0,'Deal Analyzer'!$B$4*(1+NORM.INV(RAND(),0,$J$4)))</f>
        <v/>
      </c>
      <c r="C290" s="12">
        <f>'Deal Analyzer'!$B$5*MAX(0.9,1+NORM.INV(RAND(),$J$5,$J$6))</f>
        <v/>
      </c>
      <c r="D290" s="12">
        <f>'Deal Analyzer'!$B$24+C290+B290*'Deal Analyzer'!$B$11</f>
        <v/>
      </c>
      <c r="E290" s="15">
        <f>IF(B290=0,0,(B290-D290)/B290)</f>
        <v/>
      </c>
      <c r="F290" s="2">
        <f>E290&gt;='Deal Analyzer'!$B$12</f>
        <v/>
      </c>
      <c r="G290" s="12">
        <f>IF(AND(F290,RAND()&lt;$J$7),'Deal Analyzer'!$B$8-'Deal Analyzer'!$B$10,-('Deal Analyzer'!$B$10+'Deal Analyzer'!$B$9*'Deal Analyzer'!$B$14))</f>
        <v/>
      </c>
      <c r="H290" s="2" t="n"/>
      <c r="I290" s="2" t="n"/>
      <c r="J290" s="2" t="n"/>
      <c r="K290" s="2" t="n"/>
    </row>
    <row r="291">
      <c r="A291" s="2" t="n">
        <v>280</v>
      </c>
      <c r="B291" s="12">
        <f>MAX(0,'Deal Analyzer'!$B$4*(1+NORM.INV(RAND(),0,$J$4)))</f>
        <v/>
      </c>
      <c r="C291" s="12">
        <f>'Deal Analyzer'!$B$5*MAX(0.9,1+NORM.INV(RAND(),$J$5,$J$6))</f>
        <v/>
      </c>
      <c r="D291" s="12">
        <f>'Deal Analyzer'!$B$24+C291+B291*'Deal Analyzer'!$B$11</f>
        <v/>
      </c>
      <c r="E291" s="15">
        <f>IF(B291=0,0,(B291-D291)/B291)</f>
        <v/>
      </c>
      <c r="F291" s="2">
        <f>E291&gt;='Deal Analyzer'!$B$12</f>
        <v/>
      </c>
      <c r="G291" s="12">
        <f>IF(AND(F291,RAND()&lt;$J$7),'Deal Analyzer'!$B$8-'Deal Analyzer'!$B$10,-('Deal Analyzer'!$B$10+'Deal Analyzer'!$B$9*'Deal Analyzer'!$B$14))</f>
        <v/>
      </c>
      <c r="H291" s="2" t="n"/>
      <c r="I291" s="2" t="n"/>
      <c r="J291" s="2" t="n"/>
      <c r="K291" s="2" t="n"/>
    </row>
    <row r="292">
      <c r="A292" s="2" t="n">
        <v>281</v>
      </c>
      <c r="B292" s="12">
        <f>MAX(0,'Deal Analyzer'!$B$4*(1+NORM.INV(RAND(),0,$J$4)))</f>
        <v/>
      </c>
      <c r="C292" s="12">
        <f>'Deal Analyzer'!$B$5*MAX(0.9,1+NORM.INV(RAND(),$J$5,$J$6))</f>
        <v/>
      </c>
      <c r="D292" s="12">
        <f>'Deal Analyzer'!$B$24+C292+B292*'Deal Analyzer'!$B$11</f>
        <v/>
      </c>
      <c r="E292" s="15">
        <f>IF(B292=0,0,(B292-D292)/B292)</f>
        <v/>
      </c>
      <c r="F292" s="2">
        <f>E292&gt;='Deal Analyzer'!$B$12</f>
        <v/>
      </c>
      <c r="G292" s="12">
        <f>IF(AND(F292,RAND()&lt;$J$7),'Deal Analyzer'!$B$8-'Deal Analyzer'!$B$10,-('Deal Analyzer'!$B$10+'Deal Analyzer'!$B$9*'Deal Analyzer'!$B$14))</f>
        <v/>
      </c>
      <c r="H292" s="2" t="n"/>
      <c r="I292" s="2" t="n"/>
      <c r="J292" s="2" t="n"/>
      <c r="K292" s="2" t="n"/>
    </row>
    <row r="293">
      <c r="A293" s="2" t="n">
        <v>282</v>
      </c>
      <c r="B293" s="12">
        <f>MAX(0,'Deal Analyzer'!$B$4*(1+NORM.INV(RAND(),0,$J$4)))</f>
        <v/>
      </c>
      <c r="C293" s="12">
        <f>'Deal Analyzer'!$B$5*MAX(0.9,1+NORM.INV(RAND(),$J$5,$J$6))</f>
        <v/>
      </c>
      <c r="D293" s="12">
        <f>'Deal Analyzer'!$B$24+C293+B293*'Deal Analyzer'!$B$11</f>
        <v/>
      </c>
      <c r="E293" s="15">
        <f>IF(B293=0,0,(B293-D293)/B293)</f>
        <v/>
      </c>
      <c r="F293" s="2">
        <f>E293&gt;='Deal Analyzer'!$B$12</f>
        <v/>
      </c>
      <c r="G293" s="12">
        <f>IF(AND(F293,RAND()&lt;$J$7),'Deal Analyzer'!$B$8-'Deal Analyzer'!$B$10,-('Deal Analyzer'!$B$10+'Deal Analyzer'!$B$9*'Deal Analyzer'!$B$14))</f>
        <v/>
      </c>
      <c r="H293" s="2" t="n"/>
      <c r="I293" s="2" t="n"/>
      <c r="J293" s="2" t="n"/>
      <c r="K293" s="2" t="n"/>
    </row>
    <row r="294">
      <c r="A294" s="2" t="n">
        <v>283</v>
      </c>
      <c r="B294" s="12">
        <f>MAX(0,'Deal Analyzer'!$B$4*(1+NORM.INV(RAND(),0,$J$4)))</f>
        <v/>
      </c>
      <c r="C294" s="12">
        <f>'Deal Analyzer'!$B$5*MAX(0.9,1+NORM.INV(RAND(),$J$5,$J$6))</f>
        <v/>
      </c>
      <c r="D294" s="12">
        <f>'Deal Analyzer'!$B$24+C294+B294*'Deal Analyzer'!$B$11</f>
        <v/>
      </c>
      <c r="E294" s="15">
        <f>IF(B294=0,0,(B294-D294)/B294)</f>
        <v/>
      </c>
      <c r="F294" s="2">
        <f>E294&gt;='Deal Analyzer'!$B$12</f>
        <v/>
      </c>
      <c r="G294" s="12">
        <f>IF(AND(F294,RAND()&lt;$J$7),'Deal Analyzer'!$B$8-'Deal Analyzer'!$B$10,-('Deal Analyzer'!$B$10+'Deal Analyzer'!$B$9*'Deal Analyzer'!$B$14))</f>
        <v/>
      </c>
      <c r="H294" s="2" t="n"/>
      <c r="I294" s="2" t="n"/>
      <c r="J294" s="2" t="n"/>
      <c r="K294" s="2" t="n"/>
    </row>
    <row r="295">
      <c r="A295" s="2" t="n">
        <v>284</v>
      </c>
      <c r="B295" s="12">
        <f>MAX(0,'Deal Analyzer'!$B$4*(1+NORM.INV(RAND(),0,$J$4)))</f>
        <v/>
      </c>
      <c r="C295" s="12">
        <f>'Deal Analyzer'!$B$5*MAX(0.9,1+NORM.INV(RAND(),$J$5,$J$6))</f>
        <v/>
      </c>
      <c r="D295" s="12">
        <f>'Deal Analyzer'!$B$24+C295+B295*'Deal Analyzer'!$B$11</f>
        <v/>
      </c>
      <c r="E295" s="15">
        <f>IF(B295=0,0,(B295-D295)/B295)</f>
        <v/>
      </c>
      <c r="F295" s="2">
        <f>E295&gt;='Deal Analyzer'!$B$12</f>
        <v/>
      </c>
      <c r="G295" s="12">
        <f>IF(AND(F295,RAND()&lt;$J$7),'Deal Analyzer'!$B$8-'Deal Analyzer'!$B$10,-('Deal Analyzer'!$B$10+'Deal Analyzer'!$B$9*'Deal Analyzer'!$B$14))</f>
        <v/>
      </c>
      <c r="H295" s="2" t="n"/>
      <c r="I295" s="2" t="n"/>
      <c r="J295" s="2" t="n"/>
      <c r="K295" s="2" t="n"/>
    </row>
    <row r="296">
      <c r="A296" s="2" t="n">
        <v>285</v>
      </c>
      <c r="B296" s="12">
        <f>MAX(0,'Deal Analyzer'!$B$4*(1+NORM.INV(RAND(),0,$J$4)))</f>
        <v/>
      </c>
      <c r="C296" s="12">
        <f>'Deal Analyzer'!$B$5*MAX(0.9,1+NORM.INV(RAND(),$J$5,$J$6))</f>
        <v/>
      </c>
      <c r="D296" s="12">
        <f>'Deal Analyzer'!$B$24+C296+B296*'Deal Analyzer'!$B$11</f>
        <v/>
      </c>
      <c r="E296" s="15">
        <f>IF(B296=0,0,(B296-D296)/B296)</f>
        <v/>
      </c>
      <c r="F296" s="2">
        <f>E296&gt;='Deal Analyzer'!$B$12</f>
        <v/>
      </c>
      <c r="G296" s="12">
        <f>IF(AND(F296,RAND()&lt;$J$7),'Deal Analyzer'!$B$8-'Deal Analyzer'!$B$10,-('Deal Analyzer'!$B$10+'Deal Analyzer'!$B$9*'Deal Analyzer'!$B$14))</f>
        <v/>
      </c>
      <c r="H296" s="2" t="n"/>
      <c r="I296" s="2" t="n"/>
      <c r="J296" s="2" t="n"/>
      <c r="K296" s="2" t="n"/>
    </row>
    <row r="297">
      <c r="A297" s="2" t="n">
        <v>286</v>
      </c>
      <c r="B297" s="12">
        <f>MAX(0,'Deal Analyzer'!$B$4*(1+NORM.INV(RAND(),0,$J$4)))</f>
        <v/>
      </c>
      <c r="C297" s="12">
        <f>'Deal Analyzer'!$B$5*MAX(0.9,1+NORM.INV(RAND(),$J$5,$J$6))</f>
        <v/>
      </c>
      <c r="D297" s="12">
        <f>'Deal Analyzer'!$B$24+C297+B297*'Deal Analyzer'!$B$11</f>
        <v/>
      </c>
      <c r="E297" s="15">
        <f>IF(B297=0,0,(B297-D297)/B297)</f>
        <v/>
      </c>
      <c r="F297" s="2">
        <f>E297&gt;='Deal Analyzer'!$B$12</f>
        <v/>
      </c>
      <c r="G297" s="12">
        <f>IF(AND(F297,RAND()&lt;$J$7),'Deal Analyzer'!$B$8-'Deal Analyzer'!$B$10,-('Deal Analyzer'!$B$10+'Deal Analyzer'!$B$9*'Deal Analyzer'!$B$14))</f>
        <v/>
      </c>
      <c r="H297" s="2" t="n"/>
      <c r="I297" s="2" t="n"/>
      <c r="J297" s="2" t="n"/>
      <c r="K297" s="2" t="n"/>
    </row>
    <row r="298">
      <c r="A298" s="2" t="n">
        <v>287</v>
      </c>
      <c r="B298" s="12">
        <f>MAX(0,'Deal Analyzer'!$B$4*(1+NORM.INV(RAND(),0,$J$4)))</f>
        <v/>
      </c>
      <c r="C298" s="12">
        <f>'Deal Analyzer'!$B$5*MAX(0.9,1+NORM.INV(RAND(),$J$5,$J$6))</f>
        <v/>
      </c>
      <c r="D298" s="12">
        <f>'Deal Analyzer'!$B$24+C298+B298*'Deal Analyzer'!$B$11</f>
        <v/>
      </c>
      <c r="E298" s="15">
        <f>IF(B298=0,0,(B298-D298)/B298)</f>
        <v/>
      </c>
      <c r="F298" s="2">
        <f>E298&gt;='Deal Analyzer'!$B$12</f>
        <v/>
      </c>
      <c r="G298" s="12">
        <f>IF(AND(F298,RAND()&lt;$J$7),'Deal Analyzer'!$B$8-'Deal Analyzer'!$B$10,-('Deal Analyzer'!$B$10+'Deal Analyzer'!$B$9*'Deal Analyzer'!$B$14))</f>
        <v/>
      </c>
      <c r="H298" s="2" t="n"/>
      <c r="I298" s="2" t="n"/>
      <c r="J298" s="2" t="n"/>
      <c r="K298" s="2" t="n"/>
    </row>
    <row r="299">
      <c r="A299" s="2" t="n">
        <v>288</v>
      </c>
      <c r="B299" s="12">
        <f>MAX(0,'Deal Analyzer'!$B$4*(1+NORM.INV(RAND(),0,$J$4)))</f>
        <v/>
      </c>
      <c r="C299" s="12">
        <f>'Deal Analyzer'!$B$5*MAX(0.9,1+NORM.INV(RAND(),$J$5,$J$6))</f>
        <v/>
      </c>
      <c r="D299" s="12">
        <f>'Deal Analyzer'!$B$24+C299+B299*'Deal Analyzer'!$B$11</f>
        <v/>
      </c>
      <c r="E299" s="15">
        <f>IF(B299=0,0,(B299-D299)/B299)</f>
        <v/>
      </c>
      <c r="F299" s="2">
        <f>E299&gt;='Deal Analyzer'!$B$12</f>
        <v/>
      </c>
      <c r="G299" s="12">
        <f>IF(AND(F299,RAND()&lt;$J$7),'Deal Analyzer'!$B$8-'Deal Analyzer'!$B$10,-('Deal Analyzer'!$B$10+'Deal Analyzer'!$B$9*'Deal Analyzer'!$B$14))</f>
        <v/>
      </c>
      <c r="H299" s="2" t="n"/>
      <c r="I299" s="2" t="n"/>
      <c r="J299" s="2" t="n"/>
      <c r="K299" s="2" t="n"/>
    </row>
    <row r="300">
      <c r="A300" s="2" t="n">
        <v>289</v>
      </c>
      <c r="B300" s="12">
        <f>MAX(0,'Deal Analyzer'!$B$4*(1+NORM.INV(RAND(),0,$J$4)))</f>
        <v/>
      </c>
      <c r="C300" s="12">
        <f>'Deal Analyzer'!$B$5*MAX(0.9,1+NORM.INV(RAND(),$J$5,$J$6))</f>
        <v/>
      </c>
      <c r="D300" s="12">
        <f>'Deal Analyzer'!$B$24+C300+B300*'Deal Analyzer'!$B$11</f>
        <v/>
      </c>
      <c r="E300" s="15">
        <f>IF(B300=0,0,(B300-D300)/B300)</f>
        <v/>
      </c>
      <c r="F300" s="2">
        <f>E300&gt;='Deal Analyzer'!$B$12</f>
        <v/>
      </c>
      <c r="G300" s="12">
        <f>IF(AND(F300,RAND()&lt;$J$7),'Deal Analyzer'!$B$8-'Deal Analyzer'!$B$10,-('Deal Analyzer'!$B$10+'Deal Analyzer'!$B$9*'Deal Analyzer'!$B$14))</f>
        <v/>
      </c>
      <c r="H300" s="2" t="n"/>
      <c r="I300" s="2" t="n"/>
      <c r="J300" s="2" t="n"/>
      <c r="K300" s="2" t="n"/>
    </row>
    <row r="301">
      <c r="A301" s="2" t="n">
        <v>290</v>
      </c>
      <c r="B301" s="12">
        <f>MAX(0,'Deal Analyzer'!$B$4*(1+NORM.INV(RAND(),0,$J$4)))</f>
        <v/>
      </c>
      <c r="C301" s="12">
        <f>'Deal Analyzer'!$B$5*MAX(0.9,1+NORM.INV(RAND(),$J$5,$J$6))</f>
        <v/>
      </c>
      <c r="D301" s="12">
        <f>'Deal Analyzer'!$B$24+C301+B301*'Deal Analyzer'!$B$11</f>
        <v/>
      </c>
      <c r="E301" s="15">
        <f>IF(B301=0,0,(B301-D301)/B301)</f>
        <v/>
      </c>
      <c r="F301" s="2">
        <f>E301&gt;='Deal Analyzer'!$B$12</f>
        <v/>
      </c>
      <c r="G301" s="12">
        <f>IF(AND(F301,RAND()&lt;$J$7),'Deal Analyzer'!$B$8-'Deal Analyzer'!$B$10,-('Deal Analyzer'!$B$10+'Deal Analyzer'!$B$9*'Deal Analyzer'!$B$14))</f>
        <v/>
      </c>
      <c r="H301" s="2" t="n"/>
      <c r="I301" s="2" t="n"/>
      <c r="J301" s="2" t="n"/>
      <c r="K301" s="2" t="n"/>
    </row>
    <row r="302">
      <c r="A302" s="2" t="n">
        <v>291</v>
      </c>
      <c r="B302" s="12">
        <f>MAX(0,'Deal Analyzer'!$B$4*(1+NORM.INV(RAND(),0,$J$4)))</f>
        <v/>
      </c>
      <c r="C302" s="12">
        <f>'Deal Analyzer'!$B$5*MAX(0.9,1+NORM.INV(RAND(),$J$5,$J$6))</f>
        <v/>
      </c>
      <c r="D302" s="12">
        <f>'Deal Analyzer'!$B$24+C302+B302*'Deal Analyzer'!$B$11</f>
        <v/>
      </c>
      <c r="E302" s="15">
        <f>IF(B302=0,0,(B302-D302)/B302)</f>
        <v/>
      </c>
      <c r="F302" s="2">
        <f>E302&gt;='Deal Analyzer'!$B$12</f>
        <v/>
      </c>
      <c r="G302" s="12">
        <f>IF(AND(F302,RAND()&lt;$J$7),'Deal Analyzer'!$B$8-'Deal Analyzer'!$B$10,-('Deal Analyzer'!$B$10+'Deal Analyzer'!$B$9*'Deal Analyzer'!$B$14))</f>
        <v/>
      </c>
      <c r="H302" s="2" t="n"/>
      <c r="I302" s="2" t="n"/>
      <c r="J302" s="2" t="n"/>
      <c r="K302" s="2" t="n"/>
    </row>
    <row r="303">
      <c r="A303" s="2" t="n">
        <v>292</v>
      </c>
      <c r="B303" s="12">
        <f>MAX(0,'Deal Analyzer'!$B$4*(1+NORM.INV(RAND(),0,$J$4)))</f>
        <v/>
      </c>
      <c r="C303" s="12">
        <f>'Deal Analyzer'!$B$5*MAX(0.9,1+NORM.INV(RAND(),$J$5,$J$6))</f>
        <v/>
      </c>
      <c r="D303" s="12">
        <f>'Deal Analyzer'!$B$24+C303+B303*'Deal Analyzer'!$B$11</f>
        <v/>
      </c>
      <c r="E303" s="15">
        <f>IF(B303=0,0,(B303-D303)/B303)</f>
        <v/>
      </c>
      <c r="F303" s="2">
        <f>E303&gt;='Deal Analyzer'!$B$12</f>
        <v/>
      </c>
      <c r="G303" s="12">
        <f>IF(AND(F303,RAND()&lt;$J$7),'Deal Analyzer'!$B$8-'Deal Analyzer'!$B$10,-('Deal Analyzer'!$B$10+'Deal Analyzer'!$B$9*'Deal Analyzer'!$B$14))</f>
        <v/>
      </c>
      <c r="H303" s="2" t="n"/>
      <c r="I303" s="2" t="n"/>
      <c r="J303" s="2" t="n"/>
      <c r="K303" s="2" t="n"/>
    </row>
    <row r="304">
      <c r="A304" s="2" t="n">
        <v>293</v>
      </c>
      <c r="B304" s="12">
        <f>MAX(0,'Deal Analyzer'!$B$4*(1+NORM.INV(RAND(),0,$J$4)))</f>
        <v/>
      </c>
      <c r="C304" s="12">
        <f>'Deal Analyzer'!$B$5*MAX(0.9,1+NORM.INV(RAND(),$J$5,$J$6))</f>
        <v/>
      </c>
      <c r="D304" s="12">
        <f>'Deal Analyzer'!$B$24+C304+B304*'Deal Analyzer'!$B$11</f>
        <v/>
      </c>
      <c r="E304" s="15">
        <f>IF(B304=0,0,(B304-D304)/B304)</f>
        <v/>
      </c>
      <c r="F304" s="2">
        <f>E304&gt;='Deal Analyzer'!$B$12</f>
        <v/>
      </c>
      <c r="G304" s="12">
        <f>IF(AND(F304,RAND()&lt;$J$7),'Deal Analyzer'!$B$8-'Deal Analyzer'!$B$10,-('Deal Analyzer'!$B$10+'Deal Analyzer'!$B$9*'Deal Analyzer'!$B$14))</f>
        <v/>
      </c>
      <c r="H304" s="2" t="n"/>
      <c r="I304" s="2" t="n"/>
      <c r="J304" s="2" t="n"/>
      <c r="K304" s="2" t="n"/>
    </row>
    <row r="305">
      <c r="A305" s="2" t="n">
        <v>294</v>
      </c>
      <c r="B305" s="12">
        <f>MAX(0,'Deal Analyzer'!$B$4*(1+NORM.INV(RAND(),0,$J$4)))</f>
        <v/>
      </c>
      <c r="C305" s="12">
        <f>'Deal Analyzer'!$B$5*MAX(0.9,1+NORM.INV(RAND(),$J$5,$J$6))</f>
        <v/>
      </c>
      <c r="D305" s="12">
        <f>'Deal Analyzer'!$B$24+C305+B305*'Deal Analyzer'!$B$11</f>
        <v/>
      </c>
      <c r="E305" s="15">
        <f>IF(B305=0,0,(B305-D305)/B305)</f>
        <v/>
      </c>
      <c r="F305" s="2">
        <f>E305&gt;='Deal Analyzer'!$B$12</f>
        <v/>
      </c>
      <c r="G305" s="12">
        <f>IF(AND(F305,RAND()&lt;$J$7),'Deal Analyzer'!$B$8-'Deal Analyzer'!$B$10,-('Deal Analyzer'!$B$10+'Deal Analyzer'!$B$9*'Deal Analyzer'!$B$14))</f>
        <v/>
      </c>
      <c r="H305" s="2" t="n"/>
      <c r="I305" s="2" t="n"/>
      <c r="J305" s="2" t="n"/>
      <c r="K305" s="2" t="n"/>
    </row>
    <row r="306">
      <c r="A306" s="2" t="n">
        <v>295</v>
      </c>
      <c r="B306" s="12">
        <f>MAX(0,'Deal Analyzer'!$B$4*(1+NORM.INV(RAND(),0,$J$4)))</f>
        <v/>
      </c>
      <c r="C306" s="12">
        <f>'Deal Analyzer'!$B$5*MAX(0.9,1+NORM.INV(RAND(),$J$5,$J$6))</f>
        <v/>
      </c>
      <c r="D306" s="12">
        <f>'Deal Analyzer'!$B$24+C306+B306*'Deal Analyzer'!$B$11</f>
        <v/>
      </c>
      <c r="E306" s="15">
        <f>IF(B306=0,0,(B306-D306)/B306)</f>
        <v/>
      </c>
      <c r="F306" s="2">
        <f>E306&gt;='Deal Analyzer'!$B$12</f>
        <v/>
      </c>
      <c r="G306" s="12">
        <f>IF(AND(F306,RAND()&lt;$J$7),'Deal Analyzer'!$B$8-'Deal Analyzer'!$B$10,-('Deal Analyzer'!$B$10+'Deal Analyzer'!$B$9*'Deal Analyzer'!$B$14))</f>
        <v/>
      </c>
      <c r="H306" s="2" t="n"/>
      <c r="I306" s="2" t="n"/>
      <c r="J306" s="2" t="n"/>
      <c r="K306" s="2" t="n"/>
    </row>
    <row r="307">
      <c r="A307" s="2" t="n">
        <v>296</v>
      </c>
      <c r="B307" s="12">
        <f>MAX(0,'Deal Analyzer'!$B$4*(1+NORM.INV(RAND(),0,$J$4)))</f>
        <v/>
      </c>
      <c r="C307" s="12">
        <f>'Deal Analyzer'!$B$5*MAX(0.9,1+NORM.INV(RAND(),$J$5,$J$6))</f>
        <v/>
      </c>
      <c r="D307" s="12">
        <f>'Deal Analyzer'!$B$24+C307+B307*'Deal Analyzer'!$B$11</f>
        <v/>
      </c>
      <c r="E307" s="15">
        <f>IF(B307=0,0,(B307-D307)/B307)</f>
        <v/>
      </c>
      <c r="F307" s="2">
        <f>E307&gt;='Deal Analyzer'!$B$12</f>
        <v/>
      </c>
      <c r="G307" s="12">
        <f>IF(AND(F307,RAND()&lt;$J$7),'Deal Analyzer'!$B$8-'Deal Analyzer'!$B$10,-('Deal Analyzer'!$B$10+'Deal Analyzer'!$B$9*'Deal Analyzer'!$B$14))</f>
        <v/>
      </c>
      <c r="H307" s="2" t="n"/>
      <c r="I307" s="2" t="n"/>
      <c r="J307" s="2" t="n"/>
      <c r="K307" s="2" t="n"/>
    </row>
    <row r="308">
      <c r="A308" s="2" t="n">
        <v>297</v>
      </c>
      <c r="B308" s="12">
        <f>MAX(0,'Deal Analyzer'!$B$4*(1+NORM.INV(RAND(),0,$J$4)))</f>
        <v/>
      </c>
      <c r="C308" s="12">
        <f>'Deal Analyzer'!$B$5*MAX(0.9,1+NORM.INV(RAND(),$J$5,$J$6))</f>
        <v/>
      </c>
      <c r="D308" s="12">
        <f>'Deal Analyzer'!$B$24+C308+B308*'Deal Analyzer'!$B$11</f>
        <v/>
      </c>
      <c r="E308" s="15">
        <f>IF(B308=0,0,(B308-D308)/B308)</f>
        <v/>
      </c>
      <c r="F308" s="2">
        <f>E308&gt;='Deal Analyzer'!$B$12</f>
        <v/>
      </c>
      <c r="G308" s="12">
        <f>IF(AND(F308,RAND()&lt;$J$7),'Deal Analyzer'!$B$8-'Deal Analyzer'!$B$10,-('Deal Analyzer'!$B$10+'Deal Analyzer'!$B$9*'Deal Analyzer'!$B$14))</f>
        <v/>
      </c>
      <c r="H308" s="2" t="n"/>
      <c r="I308" s="2" t="n"/>
      <c r="J308" s="2" t="n"/>
      <c r="K308" s="2" t="n"/>
    </row>
    <row r="309">
      <c r="A309" s="2" t="n">
        <v>298</v>
      </c>
      <c r="B309" s="12">
        <f>MAX(0,'Deal Analyzer'!$B$4*(1+NORM.INV(RAND(),0,$J$4)))</f>
        <v/>
      </c>
      <c r="C309" s="12">
        <f>'Deal Analyzer'!$B$5*MAX(0.9,1+NORM.INV(RAND(),$J$5,$J$6))</f>
        <v/>
      </c>
      <c r="D309" s="12">
        <f>'Deal Analyzer'!$B$24+C309+B309*'Deal Analyzer'!$B$11</f>
        <v/>
      </c>
      <c r="E309" s="15">
        <f>IF(B309=0,0,(B309-D309)/B309)</f>
        <v/>
      </c>
      <c r="F309" s="2">
        <f>E309&gt;='Deal Analyzer'!$B$12</f>
        <v/>
      </c>
      <c r="G309" s="12">
        <f>IF(AND(F309,RAND()&lt;$J$7),'Deal Analyzer'!$B$8-'Deal Analyzer'!$B$10,-('Deal Analyzer'!$B$10+'Deal Analyzer'!$B$9*'Deal Analyzer'!$B$14))</f>
        <v/>
      </c>
      <c r="H309" s="2" t="n"/>
      <c r="I309" s="2" t="n"/>
      <c r="J309" s="2" t="n"/>
      <c r="K309" s="2" t="n"/>
    </row>
    <row r="310">
      <c r="A310" s="2" t="n">
        <v>299</v>
      </c>
      <c r="B310" s="12">
        <f>MAX(0,'Deal Analyzer'!$B$4*(1+NORM.INV(RAND(),0,$J$4)))</f>
        <v/>
      </c>
      <c r="C310" s="12">
        <f>'Deal Analyzer'!$B$5*MAX(0.9,1+NORM.INV(RAND(),$J$5,$J$6))</f>
        <v/>
      </c>
      <c r="D310" s="12">
        <f>'Deal Analyzer'!$B$24+C310+B310*'Deal Analyzer'!$B$11</f>
        <v/>
      </c>
      <c r="E310" s="15">
        <f>IF(B310=0,0,(B310-D310)/B310)</f>
        <v/>
      </c>
      <c r="F310" s="2">
        <f>E310&gt;='Deal Analyzer'!$B$12</f>
        <v/>
      </c>
      <c r="G310" s="12">
        <f>IF(AND(F310,RAND()&lt;$J$7),'Deal Analyzer'!$B$8-'Deal Analyzer'!$B$10,-('Deal Analyzer'!$B$10+'Deal Analyzer'!$B$9*'Deal Analyzer'!$B$14))</f>
        <v/>
      </c>
      <c r="H310" s="2" t="n"/>
      <c r="I310" s="2" t="n"/>
      <c r="J310" s="2" t="n"/>
      <c r="K310" s="2" t="n"/>
    </row>
    <row r="311">
      <c r="A311" s="2" t="n">
        <v>300</v>
      </c>
      <c r="B311" s="12">
        <f>MAX(0,'Deal Analyzer'!$B$4*(1+NORM.INV(RAND(),0,$J$4)))</f>
        <v/>
      </c>
      <c r="C311" s="12">
        <f>'Deal Analyzer'!$B$5*MAX(0.9,1+NORM.INV(RAND(),$J$5,$J$6))</f>
        <v/>
      </c>
      <c r="D311" s="12">
        <f>'Deal Analyzer'!$B$24+C311+B311*'Deal Analyzer'!$B$11</f>
        <v/>
      </c>
      <c r="E311" s="15">
        <f>IF(B311=0,0,(B311-D311)/B311)</f>
        <v/>
      </c>
      <c r="F311" s="2">
        <f>E311&gt;='Deal Analyzer'!$B$12</f>
        <v/>
      </c>
      <c r="G311" s="12">
        <f>IF(AND(F311,RAND()&lt;$J$7),'Deal Analyzer'!$B$8-'Deal Analyzer'!$B$10,-('Deal Analyzer'!$B$10+'Deal Analyzer'!$B$9*'Deal Analyzer'!$B$14))</f>
        <v/>
      </c>
      <c r="H311" s="2" t="n"/>
      <c r="I311" s="2" t="n"/>
      <c r="J311" s="2" t="n"/>
      <c r="K311" s="2" t="n"/>
    </row>
    <row r="312">
      <c r="A312" s="2" t="n">
        <v>301</v>
      </c>
      <c r="B312" s="12">
        <f>MAX(0,'Deal Analyzer'!$B$4*(1+NORM.INV(RAND(),0,$J$4)))</f>
        <v/>
      </c>
      <c r="C312" s="12">
        <f>'Deal Analyzer'!$B$5*MAX(0.9,1+NORM.INV(RAND(),$J$5,$J$6))</f>
        <v/>
      </c>
      <c r="D312" s="12">
        <f>'Deal Analyzer'!$B$24+C312+B312*'Deal Analyzer'!$B$11</f>
        <v/>
      </c>
      <c r="E312" s="15">
        <f>IF(B312=0,0,(B312-D312)/B312)</f>
        <v/>
      </c>
      <c r="F312" s="2">
        <f>E312&gt;='Deal Analyzer'!$B$12</f>
        <v/>
      </c>
      <c r="G312" s="12">
        <f>IF(AND(F312,RAND()&lt;$J$7),'Deal Analyzer'!$B$8-'Deal Analyzer'!$B$10,-('Deal Analyzer'!$B$10+'Deal Analyzer'!$B$9*'Deal Analyzer'!$B$14))</f>
        <v/>
      </c>
      <c r="H312" s="2" t="n"/>
      <c r="I312" s="2" t="n"/>
      <c r="J312" s="2" t="n"/>
      <c r="K312" s="2" t="n"/>
    </row>
    <row r="313">
      <c r="A313" s="2" t="n">
        <v>302</v>
      </c>
      <c r="B313" s="12">
        <f>MAX(0,'Deal Analyzer'!$B$4*(1+NORM.INV(RAND(),0,$J$4)))</f>
        <v/>
      </c>
      <c r="C313" s="12">
        <f>'Deal Analyzer'!$B$5*MAX(0.9,1+NORM.INV(RAND(),$J$5,$J$6))</f>
        <v/>
      </c>
      <c r="D313" s="12">
        <f>'Deal Analyzer'!$B$24+C313+B313*'Deal Analyzer'!$B$11</f>
        <v/>
      </c>
      <c r="E313" s="15">
        <f>IF(B313=0,0,(B313-D313)/B313)</f>
        <v/>
      </c>
      <c r="F313" s="2">
        <f>E313&gt;='Deal Analyzer'!$B$12</f>
        <v/>
      </c>
      <c r="G313" s="12">
        <f>IF(AND(F313,RAND()&lt;$J$7),'Deal Analyzer'!$B$8-'Deal Analyzer'!$B$10,-('Deal Analyzer'!$B$10+'Deal Analyzer'!$B$9*'Deal Analyzer'!$B$14))</f>
        <v/>
      </c>
      <c r="H313" s="2" t="n"/>
      <c r="I313" s="2" t="n"/>
      <c r="J313" s="2" t="n"/>
      <c r="K313" s="2" t="n"/>
    </row>
    <row r="314">
      <c r="A314" s="2" t="n">
        <v>303</v>
      </c>
      <c r="B314" s="12">
        <f>MAX(0,'Deal Analyzer'!$B$4*(1+NORM.INV(RAND(),0,$J$4)))</f>
        <v/>
      </c>
      <c r="C314" s="12">
        <f>'Deal Analyzer'!$B$5*MAX(0.9,1+NORM.INV(RAND(),$J$5,$J$6))</f>
        <v/>
      </c>
      <c r="D314" s="12">
        <f>'Deal Analyzer'!$B$24+C314+B314*'Deal Analyzer'!$B$11</f>
        <v/>
      </c>
      <c r="E314" s="15">
        <f>IF(B314=0,0,(B314-D314)/B314)</f>
        <v/>
      </c>
      <c r="F314" s="2">
        <f>E314&gt;='Deal Analyzer'!$B$12</f>
        <v/>
      </c>
      <c r="G314" s="12">
        <f>IF(AND(F314,RAND()&lt;$J$7),'Deal Analyzer'!$B$8-'Deal Analyzer'!$B$10,-('Deal Analyzer'!$B$10+'Deal Analyzer'!$B$9*'Deal Analyzer'!$B$14))</f>
        <v/>
      </c>
      <c r="H314" s="2" t="n"/>
      <c r="I314" s="2" t="n"/>
      <c r="J314" s="2" t="n"/>
      <c r="K314" s="2" t="n"/>
    </row>
    <row r="315">
      <c r="A315" s="2" t="n">
        <v>304</v>
      </c>
      <c r="B315" s="12">
        <f>MAX(0,'Deal Analyzer'!$B$4*(1+NORM.INV(RAND(),0,$J$4)))</f>
        <v/>
      </c>
      <c r="C315" s="12">
        <f>'Deal Analyzer'!$B$5*MAX(0.9,1+NORM.INV(RAND(),$J$5,$J$6))</f>
        <v/>
      </c>
      <c r="D315" s="12">
        <f>'Deal Analyzer'!$B$24+C315+B315*'Deal Analyzer'!$B$11</f>
        <v/>
      </c>
      <c r="E315" s="15">
        <f>IF(B315=0,0,(B315-D315)/B315)</f>
        <v/>
      </c>
      <c r="F315" s="2">
        <f>E315&gt;='Deal Analyzer'!$B$12</f>
        <v/>
      </c>
      <c r="G315" s="12">
        <f>IF(AND(F315,RAND()&lt;$J$7),'Deal Analyzer'!$B$8-'Deal Analyzer'!$B$10,-('Deal Analyzer'!$B$10+'Deal Analyzer'!$B$9*'Deal Analyzer'!$B$14))</f>
        <v/>
      </c>
      <c r="H315" s="2" t="n"/>
      <c r="I315" s="2" t="n"/>
      <c r="J315" s="2" t="n"/>
      <c r="K315" s="2" t="n"/>
    </row>
    <row r="316">
      <c r="A316" s="2" t="n">
        <v>305</v>
      </c>
      <c r="B316" s="12">
        <f>MAX(0,'Deal Analyzer'!$B$4*(1+NORM.INV(RAND(),0,$J$4)))</f>
        <v/>
      </c>
      <c r="C316" s="12">
        <f>'Deal Analyzer'!$B$5*MAX(0.9,1+NORM.INV(RAND(),$J$5,$J$6))</f>
        <v/>
      </c>
      <c r="D316" s="12">
        <f>'Deal Analyzer'!$B$24+C316+B316*'Deal Analyzer'!$B$11</f>
        <v/>
      </c>
      <c r="E316" s="15">
        <f>IF(B316=0,0,(B316-D316)/B316)</f>
        <v/>
      </c>
      <c r="F316" s="2">
        <f>E316&gt;='Deal Analyzer'!$B$12</f>
        <v/>
      </c>
      <c r="G316" s="12">
        <f>IF(AND(F316,RAND()&lt;$J$7),'Deal Analyzer'!$B$8-'Deal Analyzer'!$B$10,-('Deal Analyzer'!$B$10+'Deal Analyzer'!$B$9*'Deal Analyzer'!$B$14))</f>
        <v/>
      </c>
      <c r="H316" s="2" t="n"/>
      <c r="I316" s="2" t="n"/>
      <c r="J316" s="2" t="n"/>
      <c r="K316" s="2" t="n"/>
    </row>
    <row r="317">
      <c r="A317" s="2" t="n">
        <v>306</v>
      </c>
      <c r="B317" s="12">
        <f>MAX(0,'Deal Analyzer'!$B$4*(1+NORM.INV(RAND(),0,$J$4)))</f>
        <v/>
      </c>
      <c r="C317" s="12">
        <f>'Deal Analyzer'!$B$5*MAX(0.9,1+NORM.INV(RAND(),$J$5,$J$6))</f>
        <v/>
      </c>
      <c r="D317" s="12">
        <f>'Deal Analyzer'!$B$24+C317+B317*'Deal Analyzer'!$B$11</f>
        <v/>
      </c>
      <c r="E317" s="15">
        <f>IF(B317=0,0,(B317-D317)/B317)</f>
        <v/>
      </c>
      <c r="F317" s="2">
        <f>E317&gt;='Deal Analyzer'!$B$12</f>
        <v/>
      </c>
      <c r="G317" s="12">
        <f>IF(AND(F317,RAND()&lt;$J$7),'Deal Analyzer'!$B$8-'Deal Analyzer'!$B$10,-('Deal Analyzer'!$B$10+'Deal Analyzer'!$B$9*'Deal Analyzer'!$B$14))</f>
        <v/>
      </c>
      <c r="H317" s="2" t="n"/>
      <c r="I317" s="2" t="n"/>
      <c r="J317" s="2" t="n"/>
      <c r="K317" s="2" t="n"/>
    </row>
    <row r="318">
      <c r="A318" s="2" t="n">
        <v>307</v>
      </c>
      <c r="B318" s="12">
        <f>MAX(0,'Deal Analyzer'!$B$4*(1+NORM.INV(RAND(),0,$J$4)))</f>
        <v/>
      </c>
      <c r="C318" s="12">
        <f>'Deal Analyzer'!$B$5*MAX(0.9,1+NORM.INV(RAND(),$J$5,$J$6))</f>
        <v/>
      </c>
      <c r="D318" s="12">
        <f>'Deal Analyzer'!$B$24+C318+B318*'Deal Analyzer'!$B$11</f>
        <v/>
      </c>
      <c r="E318" s="15">
        <f>IF(B318=0,0,(B318-D318)/B318)</f>
        <v/>
      </c>
      <c r="F318" s="2">
        <f>E318&gt;='Deal Analyzer'!$B$12</f>
        <v/>
      </c>
      <c r="G318" s="12">
        <f>IF(AND(F318,RAND()&lt;$J$7),'Deal Analyzer'!$B$8-'Deal Analyzer'!$B$10,-('Deal Analyzer'!$B$10+'Deal Analyzer'!$B$9*'Deal Analyzer'!$B$14))</f>
        <v/>
      </c>
      <c r="H318" s="2" t="n"/>
      <c r="I318" s="2" t="n"/>
      <c r="J318" s="2" t="n"/>
      <c r="K318" s="2" t="n"/>
    </row>
    <row r="319">
      <c r="A319" s="2" t="n">
        <v>308</v>
      </c>
      <c r="B319" s="12">
        <f>MAX(0,'Deal Analyzer'!$B$4*(1+NORM.INV(RAND(),0,$J$4)))</f>
        <v/>
      </c>
      <c r="C319" s="12">
        <f>'Deal Analyzer'!$B$5*MAX(0.9,1+NORM.INV(RAND(),$J$5,$J$6))</f>
        <v/>
      </c>
      <c r="D319" s="12">
        <f>'Deal Analyzer'!$B$24+C319+B319*'Deal Analyzer'!$B$11</f>
        <v/>
      </c>
      <c r="E319" s="15">
        <f>IF(B319=0,0,(B319-D319)/B319)</f>
        <v/>
      </c>
      <c r="F319" s="2">
        <f>E319&gt;='Deal Analyzer'!$B$12</f>
        <v/>
      </c>
      <c r="G319" s="12">
        <f>IF(AND(F319,RAND()&lt;$J$7),'Deal Analyzer'!$B$8-'Deal Analyzer'!$B$10,-('Deal Analyzer'!$B$10+'Deal Analyzer'!$B$9*'Deal Analyzer'!$B$14))</f>
        <v/>
      </c>
      <c r="H319" s="2" t="n"/>
      <c r="I319" s="2" t="n"/>
      <c r="J319" s="2" t="n"/>
      <c r="K319" s="2" t="n"/>
    </row>
    <row r="320">
      <c r="A320" s="2" t="n">
        <v>309</v>
      </c>
      <c r="B320" s="12">
        <f>MAX(0,'Deal Analyzer'!$B$4*(1+NORM.INV(RAND(),0,$J$4)))</f>
        <v/>
      </c>
      <c r="C320" s="12">
        <f>'Deal Analyzer'!$B$5*MAX(0.9,1+NORM.INV(RAND(),$J$5,$J$6))</f>
        <v/>
      </c>
      <c r="D320" s="12">
        <f>'Deal Analyzer'!$B$24+C320+B320*'Deal Analyzer'!$B$11</f>
        <v/>
      </c>
      <c r="E320" s="15">
        <f>IF(B320=0,0,(B320-D320)/B320)</f>
        <v/>
      </c>
      <c r="F320" s="2">
        <f>E320&gt;='Deal Analyzer'!$B$12</f>
        <v/>
      </c>
      <c r="G320" s="12">
        <f>IF(AND(F320,RAND()&lt;$J$7),'Deal Analyzer'!$B$8-'Deal Analyzer'!$B$10,-('Deal Analyzer'!$B$10+'Deal Analyzer'!$B$9*'Deal Analyzer'!$B$14))</f>
        <v/>
      </c>
      <c r="H320" s="2" t="n"/>
      <c r="I320" s="2" t="n"/>
      <c r="J320" s="2" t="n"/>
      <c r="K320" s="2" t="n"/>
    </row>
    <row r="321">
      <c r="A321" s="2" t="n">
        <v>310</v>
      </c>
      <c r="B321" s="12">
        <f>MAX(0,'Deal Analyzer'!$B$4*(1+NORM.INV(RAND(),0,$J$4)))</f>
        <v/>
      </c>
      <c r="C321" s="12">
        <f>'Deal Analyzer'!$B$5*MAX(0.9,1+NORM.INV(RAND(),$J$5,$J$6))</f>
        <v/>
      </c>
      <c r="D321" s="12">
        <f>'Deal Analyzer'!$B$24+C321+B321*'Deal Analyzer'!$B$11</f>
        <v/>
      </c>
      <c r="E321" s="15">
        <f>IF(B321=0,0,(B321-D321)/B321)</f>
        <v/>
      </c>
      <c r="F321" s="2">
        <f>E321&gt;='Deal Analyzer'!$B$12</f>
        <v/>
      </c>
      <c r="G321" s="12">
        <f>IF(AND(F321,RAND()&lt;$J$7),'Deal Analyzer'!$B$8-'Deal Analyzer'!$B$10,-('Deal Analyzer'!$B$10+'Deal Analyzer'!$B$9*'Deal Analyzer'!$B$14))</f>
        <v/>
      </c>
      <c r="H321" s="2" t="n"/>
      <c r="I321" s="2" t="n"/>
      <c r="J321" s="2" t="n"/>
      <c r="K321" s="2" t="n"/>
    </row>
    <row r="322">
      <c r="A322" s="2" t="n">
        <v>311</v>
      </c>
      <c r="B322" s="12">
        <f>MAX(0,'Deal Analyzer'!$B$4*(1+NORM.INV(RAND(),0,$J$4)))</f>
        <v/>
      </c>
      <c r="C322" s="12">
        <f>'Deal Analyzer'!$B$5*MAX(0.9,1+NORM.INV(RAND(),$J$5,$J$6))</f>
        <v/>
      </c>
      <c r="D322" s="12">
        <f>'Deal Analyzer'!$B$24+C322+B322*'Deal Analyzer'!$B$11</f>
        <v/>
      </c>
      <c r="E322" s="15">
        <f>IF(B322=0,0,(B322-D322)/B322)</f>
        <v/>
      </c>
      <c r="F322" s="2">
        <f>E322&gt;='Deal Analyzer'!$B$12</f>
        <v/>
      </c>
      <c r="G322" s="12">
        <f>IF(AND(F322,RAND()&lt;$J$7),'Deal Analyzer'!$B$8-'Deal Analyzer'!$B$10,-('Deal Analyzer'!$B$10+'Deal Analyzer'!$B$9*'Deal Analyzer'!$B$14))</f>
        <v/>
      </c>
      <c r="H322" s="2" t="n"/>
      <c r="I322" s="2" t="n"/>
      <c r="J322" s="2" t="n"/>
      <c r="K322" s="2" t="n"/>
    </row>
    <row r="323">
      <c r="A323" s="2" t="n">
        <v>312</v>
      </c>
      <c r="B323" s="12">
        <f>MAX(0,'Deal Analyzer'!$B$4*(1+NORM.INV(RAND(),0,$J$4)))</f>
        <v/>
      </c>
      <c r="C323" s="12">
        <f>'Deal Analyzer'!$B$5*MAX(0.9,1+NORM.INV(RAND(),$J$5,$J$6))</f>
        <v/>
      </c>
      <c r="D323" s="12">
        <f>'Deal Analyzer'!$B$24+C323+B323*'Deal Analyzer'!$B$11</f>
        <v/>
      </c>
      <c r="E323" s="15">
        <f>IF(B323=0,0,(B323-D323)/B323)</f>
        <v/>
      </c>
      <c r="F323" s="2">
        <f>E323&gt;='Deal Analyzer'!$B$12</f>
        <v/>
      </c>
      <c r="G323" s="12">
        <f>IF(AND(F323,RAND()&lt;$J$7),'Deal Analyzer'!$B$8-'Deal Analyzer'!$B$10,-('Deal Analyzer'!$B$10+'Deal Analyzer'!$B$9*'Deal Analyzer'!$B$14))</f>
        <v/>
      </c>
      <c r="H323" s="2" t="n"/>
      <c r="I323" s="2" t="n"/>
      <c r="J323" s="2" t="n"/>
      <c r="K323" s="2" t="n"/>
    </row>
    <row r="324">
      <c r="A324" s="2" t="n">
        <v>313</v>
      </c>
      <c r="B324" s="12">
        <f>MAX(0,'Deal Analyzer'!$B$4*(1+NORM.INV(RAND(),0,$J$4)))</f>
        <v/>
      </c>
      <c r="C324" s="12">
        <f>'Deal Analyzer'!$B$5*MAX(0.9,1+NORM.INV(RAND(),$J$5,$J$6))</f>
        <v/>
      </c>
      <c r="D324" s="12">
        <f>'Deal Analyzer'!$B$24+C324+B324*'Deal Analyzer'!$B$11</f>
        <v/>
      </c>
      <c r="E324" s="15">
        <f>IF(B324=0,0,(B324-D324)/B324)</f>
        <v/>
      </c>
      <c r="F324" s="2">
        <f>E324&gt;='Deal Analyzer'!$B$12</f>
        <v/>
      </c>
      <c r="G324" s="12">
        <f>IF(AND(F324,RAND()&lt;$J$7),'Deal Analyzer'!$B$8-'Deal Analyzer'!$B$10,-('Deal Analyzer'!$B$10+'Deal Analyzer'!$B$9*'Deal Analyzer'!$B$14))</f>
        <v/>
      </c>
      <c r="H324" s="2" t="n"/>
      <c r="I324" s="2" t="n"/>
      <c r="J324" s="2" t="n"/>
      <c r="K324" s="2" t="n"/>
    </row>
    <row r="325">
      <c r="A325" s="2" t="n">
        <v>314</v>
      </c>
      <c r="B325" s="12">
        <f>MAX(0,'Deal Analyzer'!$B$4*(1+NORM.INV(RAND(),0,$J$4)))</f>
        <v/>
      </c>
      <c r="C325" s="12">
        <f>'Deal Analyzer'!$B$5*MAX(0.9,1+NORM.INV(RAND(),$J$5,$J$6))</f>
        <v/>
      </c>
      <c r="D325" s="12">
        <f>'Deal Analyzer'!$B$24+C325+B325*'Deal Analyzer'!$B$11</f>
        <v/>
      </c>
      <c r="E325" s="15">
        <f>IF(B325=0,0,(B325-D325)/B325)</f>
        <v/>
      </c>
      <c r="F325" s="2">
        <f>E325&gt;='Deal Analyzer'!$B$12</f>
        <v/>
      </c>
      <c r="G325" s="12">
        <f>IF(AND(F325,RAND()&lt;$J$7),'Deal Analyzer'!$B$8-'Deal Analyzer'!$B$10,-('Deal Analyzer'!$B$10+'Deal Analyzer'!$B$9*'Deal Analyzer'!$B$14))</f>
        <v/>
      </c>
      <c r="H325" s="2" t="n"/>
      <c r="I325" s="2" t="n"/>
      <c r="J325" s="2" t="n"/>
      <c r="K325" s="2" t="n"/>
    </row>
    <row r="326">
      <c r="A326" s="2" t="n">
        <v>315</v>
      </c>
      <c r="B326" s="12">
        <f>MAX(0,'Deal Analyzer'!$B$4*(1+NORM.INV(RAND(),0,$J$4)))</f>
        <v/>
      </c>
      <c r="C326" s="12">
        <f>'Deal Analyzer'!$B$5*MAX(0.9,1+NORM.INV(RAND(),$J$5,$J$6))</f>
        <v/>
      </c>
      <c r="D326" s="12">
        <f>'Deal Analyzer'!$B$24+C326+B326*'Deal Analyzer'!$B$11</f>
        <v/>
      </c>
      <c r="E326" s="15">
        <f>IF(B326=0,0,(B326-D326)/B326)</f>
        <v/>
      </c>
      <c r="F326" s="2">
        <f>E326&gt;='Deal Analyzer'!$B$12</f>
        <v/>
      </c>
      <c r="G326" s="12">
        <f>IF(AND(F326,RAND()&lt;$J$7),'Deal Analyzer'!$B$8-'Deal Analyzer'!$B$10,-('Deal Analyzer'!$B$10+'Deal Analyzer'!$B$9*'Deal Analyzer'!$B$14))</f>
        <v/>
      </c>
      <c r="H326" s="2" t="n"/>
      <c r="I326" s="2" t="n"/>
      <c r="J326" s="2" t="n"/>
      <c r="K326" s="2" t="n"/>
    </row>
    <row r="327">
      <c r="A327" s="2" t="n">
        <v>316</v>
      </c>
      <c r="B327" s="12">
        <f>MAX(0,'Deal Analyzer'!$B$4*(1+NORM.INV(RAND(),0,$J$4)))</f>
        <v/>
      </c>
      <c r="C327" s="12">
        <f>'Deal Analyzer'!$B$5*MAX(0.9,1+NORM.INV(RAND(),$J$5,$J$6))</f>
        <v/>
      </c>
      <c r="D327" s="12">
        <f>'Deal Analyzer'!$B$24+C327+B327*'Deal Analyzer'!$B$11</f>
        <v/>
      </c>
      <c r="E327" s="15">
        <f>IF(B327=0,0,(B327-D327)/B327)</f>
        <v/>
      </c>
      <c r="F327" s="2">
        <f>E327&gt;='Deal Analyzer'!$B$12</f>
        <v/>
      </c>
      <c r="G327" s="12">
        <f>IF(AND(F327,RAND()&lt;$J$7),'Deal Analyzer'!$B$8-'Deal Analyzer'!$B$10,-('Deal Analyzer'!$B$10+'Deal Analyzer'!$B$9*'Deal Analyzer'!$B$14))</f>
        <v/>
      </c>
      <c r="H327" s="2" t="n"/>
      <c r="I327" s="2" t="n"/>
      <c r="J327" s="2" t="n"/>
      <c r="K327" s="2" t="n"/>
    </row>
    <row r="328">
      <c r="A328" s="2" t="n">
        <v>317</v>
      </c>
      <c r="B328" s="12">
        <f>MAX(0,'Deal Analyzer'!$B$4*(1+NORM.INV(RAND(),0,$J$4)))</f>
        <v/>
      </c>
      <c r="C328" s="12">
        <f>'Deal Analyzer'!$B$5*MAX(0.9,1+NORM.INV(RAND(),$J$5,$J$6))</f>
        <v/>
      </c>
      <c r="D328" s="12">
        <f>'Deal Analyzer'!$B$24+C328+B328*'Deal Analyzer'!$B$11</f>
        <v/>
      </c>
      <c r="E328" s="15">
        <f>IF(B328=0,0,(B328-D328)/B328)</f>
        <v/>
      </c>
      <c r="F328" s="2">
        <f>E328&gt;='Deal Analyzer'!$B$12</f>
        <v/>
      </c>
      <c r="G328" s="12">
        <f>IF(AND(F328,RAND()&lt;$J$7),'Deal Analyzer'!$B$8-'Deal Analyzer'!$B$10,-('Deal Analyzer'!$B$10+'Deal Analyzer'!$B$9*'Deal Analyzer'!$B$14))</f>
        <v/>
      </c>
      <c r="H328" s="2" t="n"/>
      <c r="I328" s="2" t="n"/>
      <c r="J328" s="2" t="n"/>
      <c r="K328" s="2" t="n"/>
    </row>
    <row r="329">
      <c r="A329" s="2" t="n">
        <v>318</v>
      </c>
      <c r="B329" s="12">
        <f>MAX(0,'Deal Analyzer'!$B$4*(1+NORM.INV(RAND(),0,$J$4)))</f>
        <v/>
      </c>
      <c r="C329" s="12">
        <f>'Deal Analyzer'!$B$5*MAX(0.9,1+NORM.INV(RAND(),$J$5,$J$6))</f>
        <v/>
      </c>
      <c r="D329" s="12">
        <f>'Deal Analyzer'!$B$24+C329+B329*'Deal Analyzer'!$B$11</f>
        <v/>
      </c>
      <c r="E329" s="15">
        <f>IF(B329=0,0,(B329-D329)/B329)</f>
        <v/>
      </c>
      <c r="F329" s="2">
        <f>E329&gt;='Deal Analyzer'!$B$12</f>
        <v/>
      </c>
      <c r="G329" s="12">
        <f>IF(AND(F329,RAND()&lt;$J$7),'Deal Analyzer'!$B$8-'Deal Analyzer'!$B$10,-('Deal Analyzer'!$B$10+'Deal Analyzer'!$B$9*'Deal Analyzer'!$B$14))</f>
        <v/>
      </c>
      <c r="H329" s="2" t="n"/>
      <c r="I329" s="2" t="n"/>
      <c r="J329" s="2" t="n"/>
      <c r="K329" s="2" t="n"/>
    </row>
    <row r="330">
      <c r="A330" s="2" t="n">
        <v>319</v>
      </c>
      <c r="B330" s="12">
        <f>MAX(0,'Deal Analyzer'!$B$4*(1+NORM.INV(RAND(),0,$J$4)))</f>
        <v/>
      </c>
      <c r="C330" s="12">
        <f>'Deal Analyzer'!$B$5*MAX(0.9,1+NORM.INV(RAND(),$J$5,$J$6))</f>
        <v/>
      </c>
      <c r="D330" s="12">
        <f>'Deal Analyzer'!$B$24+C330+B330*'Deal Analyzer'!$B$11</f>
        <v/>
      </c>
      <c r="E330" s="15">
        <f>IF(B330=0,0,(B330-D330)/B330)</f>
        <v/>
      </c>
      <c r="F330" s="2">
        <f>E330&gt;='Deal Analyzer'!$B$12</f>
        <v/>
      </c>
      <c r="G330" s="12">
        <f>IF(AND(F330,RAND()&lt;$J$7),'Deal Analyzer'!$B$8-'Deal Analyzer'!$B$10,-('Deal Analyzer'!$B$10+'Deal Analyzer'!$B$9*'Deal Analyzer'!$B$14))</f>
        <v/>
      </c>
      <c r="H330" s="2" t="n"/>
      <c r="I330" s="2" t="n"/>
      <c r="J330" s="2" t="n"/>
      <c r="K330" s="2" t="n"/>
    </row>
    <row r="331">
      <c r="A331" s="2" t="n">
        <v>320</v>
      </c>
      <c r="B331" s="12">
        <f>MAX(0,'Deal Analyzer'!$B$4*(1+NORM.INV(RAND(),0,$J$4)))</f>
        <v/>
      </c>
      <c r="C331" s="12">
        <f>'Deal Analyzer'!$B$5*MAX(0.9,1+NORM.INV(RAND(),$J$5,$J$6))</f>
        <v/>
      </c>
      <c r="D331" s="12">
        <f>'Deal Analyzer'!$B$24+C331+B331*'Deal Analyzer'!$B$11</f>
        <v/>
      </c>
      <c r="E331" s="15">
        <f>IF(B331=0,0,(B331-D331)/B331)</f>
        <v/>
      </c>
      <c r="F331" s="2">
        <f>E331&gt;='Deal Analyzer'!$B$12</f>
        <v/>
      </c>
      <c r="G331" s="12">
        <f>IF(AND(F331,RAND()&lt;$J$7),'Deal Analyzer'!$B$8-'Deal Analyzer'!$B$10,-('Deal Analyzer'!$B$10+'Deal Analyzer'!$B$9*'Deal Analyzer'!$B$14))</f>
        <v/>
      </c>
      <c r="H331" s="2" t="n"/>
      <c r="I331" s="2" t="n"/>
      <c r="J331" s="2" t="n"/>
      <c r="K331" s="2" t="n"/>
    </row>
    <row r="332">
      <c r="A332" s="2" t="n">
        <v>321</v>
      </c>
      <c r="B332" s="12">
        <f>MAX(0,'Deal Analyzer'!$B$4*(1+NORM.INV(RAND(),0,$J$4)))</f>
        <v/>
      </c>
      <c r="C332" s="12">
        <f>'Deal Analyzer'!$B$5*MAX(0.9,1+NORM.INV(RAND(),$J$5,$J$6))</f>
        <v/>
      </c>
      <c r="D332" s="12">
        <f>'Deal Analyzer'!$B$24+C332+B332*'Deal Analyzer'!$B$11</f>
        <v/>
      </c>
      <c r="E332" s="15">
        <f>IF(B332=0,0,(B332-D332)/B332)</f>
        <v/>
      </c>
      <c r="F332" s="2">
        <f>E332&gt;='Deal Analyzer'!$B$12</f>
        <v/>
      </c>
      <c r="G332" s="12">
        <f>IF(AND(F332,RAND()&lt;$J$7),'Deal Analyzer'!$B$8-'Deal Analyzer'!$B$10,-('Deal Analyzer'!$B$10+'Deal Analyzer'!$B$9*'Deal Analyzer'!$B$14))</f>
        <v/>
      </c>
      <c r="H332" s="2" t="n"/>
      <c r="I332" s="2" t="n"/>
      <c r="J332" s="2" t="n"/>
      <c r="K332" s="2" t="n"/>
    </row>
    <row r="333">
      <c r="A333" s="2" t="n">
        <v>322</v>
      </c>
      <c r="B333" s="12">
        <f>MAX(0,'Deal Analyzer'!$B$4*(1+NORM.INV(RAND(),0,$J$4)))</f>
        <v/>
      </c>
      <c r="C333" s="12">
        <f>'Deal Analyzer'!$B$5*MAX(0.9,1+NORM.INV(RAND(),$J$5,$J$6))</f>
        <v/>
      </c>
      <c r="D333" s="12">
        <f>'Deal Analyzer'!$B$24+C333+B333*'Deal Analyzer'!$B$11</f>
        <v/>
      </c>
      <c r="E333" s="15">
        <f>IF(B333=0,0,(B333-D333)/B333)</f>
        <v/>
      </c>
      <c r="F333" s="2">
        <f>E333&gt;='Deal Analyzer'!$B$12</f>
        <v/>
      </c>
      <c r="G333" s="12">
        <f>IF(AND(F333,RAND()&lt;$J$7),'Deal Analyzer'!$B$8-'Deal Analyzer'!$B$10,-('Deal Analyzer'!$B$10+'Deal Analyzer'!$B$9*'Deal Analyzer'!$B$14))</f>
        <v/>
      </c>
      <c r="H333" s="2" t="n"/>
      <c r="I333" s="2" t="n"/>
      <c r="J333" s="2" t="n"/>
      <c r="K333" s="2" t="n"/>
    </row>
    <row r="334">
      <c r="A334" s="2" t="n">
        <v>323</v>
      </c>
      <c r="B334" s="12">
        <f>MAX(0,'Deal Analyzer'!$B$4*(1+NORM.INV(RAND(),0,$J$4)))</f>
        <v/>
      </c>
      <c r="C334" s="12">
        <f>'Deal Analyzer'!$B$5*MAX(0.9,1+NORM.INV(RAND(),$J$5,$J$6))</f>
        <v/>
      </c>
      <c r="D334" s="12">
        <f>'Deal Analyzer'!$B$24+C334+B334*'Deal Analyzer'!$B$11</f>
        <v/>
      </c>
      <c r="E334" s="15">
        <f>IF(B334=0,0,(B334-D334)/B334)</f>
        <v/>
      </c>
      <c r="F334" s="2">
        <f>E334&gt;='Deal Analyzer'!$B$12</f>
        <v/>
      </c>
      <c r="G334" s="12">
        <f>IF(AND(F334,RAND()&lt;$J$7),'Deal Analyzer'!$B$8-'Deal Analyzer'!$B$10,-('Deal Analyzer'!$B$10+'Deal Analyzer'!$B$9*'Deal Analyzer'!$B$14))</f>
        <v/>
      </c>
      <c r="H334" s="2" t="n"/>
      <c r="I334" s="2" t="n"/>
      <c r="J334" s="2" t="n"/>
      <c r="K334" s="2" t="n"/>
    </row>
    <row r="335">
      <c r="A335" s="2" t="n">
        <v>324</v>
      </c>
      <c r="B335" s="12">
        <f>MAX(0,'Deal Analyzer'!$B$4*(1+NORM.INV(RAND(),0,$J$4)))</f>
        <v/>
      </c>
      <c r="C335" s="12">
        <f>'Deal Analyzer'!$B$5*MAX(0.9,1+NORM.INV(RAND(),$J$5,$J$6))</f>
        <v/>
      </c>
      <c r="D335" s="12">
        <f>'Deal Analyzer'!$B$24+C335+B335*'Deal Analyzer'!$B$11</f>
        <v/>
      </c>
      <c r="E335" s="15">
        <f>IF(B335=0,0,(B335-D335)/B335)</f>
        <v/>
      </c>
      <c r="F335" s="2">
        <f>E335&gt;='Deal Analyzer'!$B$12</f>
        <v/>
      </c>
      <c r="G335" s="12">
        <f>IF(AND(F335,RAND()&lt;$J$7),'Deal Analyzer'!$B$8-'Deal Analyzer'!$B$10,-('Deal Analyzer'!$B$10+'Deal Analyzer'!$B$9*'Deal Analyzer'!$B$14))</f>
        <v/>
      </c>
      <c r="H335" s="2" t="n"/>
      <c r="I335" s="2" t="n"/>
      <c r="J335" s="2" t="n"/>
      <c r="K335" s="2" t="n"/>
    </row>
    <row r="336">
      <c r="A336" s="2" t="n">
        <v>325</v>
      </c>
      <c r="B336" s="12">
        <f>MAX(0,'Deal Analyzer'!$B$4*(1+NORM.INV(RAND(),0,$J$4)))</f>
        <v/>
      </c>
      <c r="C336" s="12">
        <f>'Deal Analyzer'!$B$5*MAX(0.9,1+NORM.INV(RAND(),$J$5,$J$6))</f>
        <v/>
      </c>
      <c r="D336" s="12">
        <f>'Deal Analyzer'!$B$24+C336+B336*'Deal Analyzer'!$B$11</f>
        <v/>
      </c>
      <c r="E336" s="15">
        <f>IF(B336=0,0,(B336-D336)/B336)</f>
        <v/>
      </c>
      <c r="F336" s="2">
        <f>E336&gt;='Deal Analyzer'!$B$12</f>
        <v/>
      </c>
      <c r="G336" s="12">
        <f>IF(AND(F336,RAND()&lt;$J$7),'Deal Analyzer'!$B$8-'Deal Analyzer'!$B$10,-('Deal Analyzer'!$B$10+'Deal Analyzer'!$B$9*'Deal Analyzer'!$B$14))</f>
        <v/>
      </c>
      <c r="H336" s="2" t="n"/>
      <c r="I336" s="2" t="n"/>
      <c r="J336" s="2" t="n"/>
      <c r="K336" s="2" t="n"/>
    </row>
    <row r="337">
      <c r="A337" s="2" t="n">
        <v>326</v>
      </c>
      <c r="B337" s="12">
        <f>MAX(0,'Deal Analyzer'!$B$4*(1+NORM.INV(RAND(),0,$J$4)))</f>
        <v/>
      </c>
      <c r="C337" s="12">
        <f>'Deal Analyzer'!$B$5*MAX(0.9,1+NORM.INV(RAND(),$J$5,$J$6))</f>
        <v/>
      </c>
      <c r="D337" s="12">
        <f>'Deal Analyzer'!$B$24+C337+B337*'Deal Analyzer'!$B$11</f>
        <v/>
      </c>
      <c r="E337" s="15">
        <f>IF(B337=0,0,(B337-D337)/B337)</f>
        <v/>
      </c>
      <c r="F337" s="2">
        <f>E337&gt;='Deal Analyzer'!$B$12</f>
        <v/>
      </c>
      <c r="G337" s="12">
        <f>IF(AND(F337,RAND()&lt;$J$7),'Deal Analyzer'!$B$8-'Deal Analyzer'!$B$10,-('Deal Analyzer'!$B$10+'Deal Analyzer'!$B$9*'Deal Analyzer'!$B$14))</f>
        <v/>
      </c>
      <c r="H337" s="2" t="n"/>
      <c r="I337" s="2" t="n"/>
      <c r="J337" s="2" t="n"/>
      <c r="K337" s="2" t="n"/>
    </row>
    <row r="338">
      <c r="A338" s="2" t="n">
        <v>327</v>
      </c>
      <c r="B338" s="12">
        <f>MAX(0,'Deal Analyzer'!$B$4*(1+NORM.INV(RAND(),0,$J$4)))</f>
        <v/>
      </c>
      <c r="C338" s="12">
        <f>'Deal Analyzer'!$B$5*MAX(0.9,1+NORM.INV(RAND(),$J$5,$J$6))</f>
        <v/>
      </c>
      <c r="D338" s="12">
        <f>'Deal Analyzer'!$B$24+C338+B338*'Deal Analyzer'!$B$11</f>
        <v/>
      </c>
      <c r="E338" s="15">
        <f>IF(B338=0,0,(B338-D338)/B338)</f>
        <v/>
      </c>
      <c r="F338" s="2">
        <f>E338&gt;='Deal Analyzer'!$B$12</f>
        <v/>
      </c>
      <c r="G338" s="12">
        <f>IF(AND(F338,RAND()&lt;$J$7),'Deal Analyzer'!$B$8-'Deal Analyzer'!$B$10,-('Deal Analyzer'!$B$10+'Deal Analyzer'!$B$9*'Deal Analyzer'!$B$14))</f>
        <v/>
      </c>
      <c r="H338" s="2" t="n"/>
      <c r="I338" s="2" t="n"/>
      <c r="J338" s="2" t="n"/>
      <c r="K338" s="2" t="n"/>
    </row>
    <row r="339">
      <c r="A339" s="2" t="n">
        <v>328</v>
      </c>
      <c r="B339" s="12">
        <f>MAX(0,'Deal Analyzer'!$B$4*(1+NORM.INV(RAND(),0,$J$4)))</f>
        <v/>
      </c>
      <c r="C339" s="12">
        <f>'Deal Analyzer'!$B$5*MAX(0.9,1+NORM.INV(RAND(),$J$5,$J$6))</f>
        <v/>
      </c>
      <c r="D339" s="12">
        <f>'Deal Analyzer'!$B$24+C339+B339*'Deal Analyzer'!$B$11</f>
        <v/>
      </c>
      <c r="E339" s="15">
        <f>IF(B339=0,0,(B339-D339)/B339)</f>
        <v/>
      </c>
      <c r="F339" s="2">
        <f>E339&gt;='Deal Analyzer'!$B$12</f>
        <v/>
      </c>
      <c r="G339" s="12">
        <f>IF(AND(F339,RAND()&lt;$J$7),'Deal Analyzer'!$B$8-'Deal Analyzer'!$B$10,-('Deal Analyzer'!$B$10+'Deal Analyzer'!$B$9*'Deal Analyzer'!$B$14))</f>
        <v/>
      </c>
      <c r="H339" s="2" t="n"/>
      <c r="I339" s="2" t="n"/>
      <c r="J339" s="2" t="n"/>
      <c r="K339" s="2" t="n"/>
    </row>
    <row r="340">
      <c r="A340" s="2" t="n">
        <v>329</v>
      </c>
      <c r="B340" s="12">
        <f>MAX(0,'Deal Analyzer'!$B$4*(1+NORM.INV(RAND(),0,$J$4)))</f>
        <v/>
      </c>
      <c r="C340" s="12">
        <f>'Deal Analyzer'!$B$5*MAX(0.9,1+NORM.INV(RAND(),$J$5,$J$6))</f>
        <v/>
      </c>
      <c r="D340" s="12">
        <f>'Deal Analyzer'!$B$24+C340+B340*'Deal Analyzer'!$B$11</f>
        <v/>
      </c>
      <c r="E340" s="15">
        <f>IF(B340=0,0,(B340-D340)/B340)</f>
        <v/>
      </c>
      <c r="F340" s="2">
        <f>E340&gt;='Deal Analyzer'!$B$12</f>
        <v/>
      </c>
      <c r="G340" s="12">
        <f>IF(AND(F340,RAND()&lt;$J$7),'Deal Analyzer'!$B$8-'Deal Analyzer'!$B$10,-('Deal Analyzer'!$B$10+'Deal Analyzer'!$B$9*'Deal Analyzer'!$B$14))</f>
        <v/>
      </c>
      <c r="H340" s="2" t="n"/>
      <c r="I340" s="2" t="n"/>
      <c r="J340" s="2" t="n"/>
      <c r="K340" s="2" t="n"/>
    </row>
    <row r="341">
      <c r="A341" s="2" t="n">
        <v>330</v>
      </c>
      <c r="B341" s="12">
        <f>MAX(0,'Deal Analyzer'!$B$4*(1+NORM.INV(RAND(),0,$J$4)))</f>
        <v/>
      </c>
      <c r="C341" s="12">
        <f>'Deal Analyzer'!$B$5*MAX(0.9,1+NORM.INV(RAND(),$J$5,$J$6))</f>
        <v/>
      </c>
      <c r="D341" s="12">
        <f>'Deal Analyzer'!$B$24+C341+B341*'Deal Analyzer'!$B$11</f>
        <v/>
      </c>
      <c r="E341" s="15">
        <f>IF(B341=0,0,(B341-D341)/B341)</f>
        <v/>
      </c>
      <c r="F341" s="2">
        <f>E341&gt;='Deal Analyzer'!$B$12</f>
        <v/>
      </c>
      <c r="G341" s="12">
        <f>IF(AND(F341,RAND()&lt;$J$7),'Deal Analyzer'!$B$8-'Deal Analyzer'!$B$10,-('Deal Analyzer'!$B$10+'Deal Analyzer'!$B$9*'Deal Analyzer'!$B$14))</f>
        <v/>
      </c>
      <c r="H341" s="2" t="n"/>
      <c r="I341" s="2" t="n"/>
      <c r="J341" s="2" t="n"/>
      <c r="K341" s="2" t="n"/>
    </row>
    <row r="342">
      <c r="A342" s="2" t="n">
        <v>331</v>
      </c>
      <c r="B342" s="12">
        <f>MAX(0,'Deal Analyzer'!$B$4*(1+NORM.INV(RAND(),0,$J$4)))</f>
        <v/>
      </c>
      <c r="C342" s="12">
        <f>'Deal Analyzer'!$B$5*MAX(0.9,1+NORM.INV(RAND(),$J$5,$J$6))</f>
        <v/>
      </c>
      <c r="D342" s="12">
        <f>'Deal Analyzer'!$B$24+C342+B342*'Deal Analyzer'!$B$11</f>
        <v/>
      </c>
      <c r="E342" s="15">
        <f>IF(B342=0,0,(B342-D342)/B342)</f>
        <v/>
      </c>
      <c r="F342" s="2">
        <f>E342&gt;='Deal Analyzer'!$B$12</f>
        <v/>
      </c>
      <c r="G342" s="12">
        <f>IF(AND(F342,RAND()&lt;$J$7),'Deal Analyzer'!$B$8-'Deal Analyzer'!$B$10,-('Deal Analyzer'!$B$10+'Deal Analyzer'!$B$9*'Deal Analyzer'!$B$14))</f>
        <v/>
      </c>
      <c r="H342" s="2" t="n"/>
      <c r="I342" s="2" t="n"/>
      <c r="J342" s="2" t="n"/>
      <c r="K342" s="2" t="n"/>
    </row>
    <row r="343">
      <c r="A343" s="2" t="n">
        <v>332</v>
      </c>
      <c r="B343" s="12">
        <f>MAX(0,'Deal Analyzer'!$B$4*(1+NORM.INV(RAND(),0,$J$4)))</f>
        <v/>
      </c>
      <c r="C343" s="12">
        <f>'Deal Analyzer'!$B$5*MAX(0.9,1+NORM.INV(RAND(),$J$5,$J$6))</f>
        <v/>
      </c>
      <c r="D343" s="12">
        <f>'Deal Analyzer'!$B$24+C343+B343*'Deal Analyzer'!$B$11</f>
        <v/>
      </c>
      <c r="E343" s="15">
        <f>IF(B343=0,0,(B343-D343)/B343)</f>
        <v/>
      </c>
      <c r="F343" s="2">
        <f>E343&gt;='Deal Analyzer'!$B$12</f>
        <v/>
      </c>
      <c r="G343" s="12">
        <f>IF(AND(F343,RAND()&lt;$J$7),'Deal Analyzer'!$B$8-'Deal Analyzer'!$B$10,-('Deal Analyzer'!$B$10+'Deal Analyzer'!$B$9*'Deal Analyzer'!$B$14))</f>
        <v/>
      </c>
      <c r="H343" s="2" t="n"/>
      <c r="I343" s="2" t="n"/>
      <c r="J343" s="2" t="n"/>
      <c r="K343" s="2" t="n"/>
    </row>
    <row r="344">
      <c r="A344" s="2" t="n">
        <v>333</v>
      </c>
      <c r="B344" s="12">
        <f>MAX(0,'Deal Analyzer'!$B$4*(1+NORM.INV(RAND(),0,$J$4)))</f>
        <v/>
      </c>
      <c r="C344" s="12">
        <f>'Deal Analyzer'!$B$5*MAX(0.9,1+NORM.INV(RAND(),$J$5,$J$6))</f>
        <v/>
      </c>
      <c r="D344" s="12">
        <f>'Deal Analyzer'!$B$24+C344+B344*'Deal Analyzer'!$B$11</f>
        <v/>
      </c>
      <c r="E344" s="15">
        <f>IF(B344=0,0,(B344-D344)/B344)</f>
        <v/>
      </c>
      <c r="F344" s="2">
        <f>E344&gt;='Deal Analyzer'!$B$12</f>
        <v/>
      </c>
      <c r="G344" s="12">
        <f>IF(AND(F344,RAND()&lt;$J$7),'Deal Analyzer'!$B$8-'Deal Analyzer'!$B$10,-('Deal Analyzer'!$B$10+'Deal Analyzer'!$B$9*'Deal Analyzer'!$B$14))</f>
        <v/>
      </c>
      <c r="H344" s="2" t="n"/>
      <c r="I344" s="2" t="n"/>
      <c r="J344" s="2" t="n"/>
      <c r="K344" s="2" t="n"/>
    </row>
    <row r="345">
      <c r="A345" s="2" t="n">
        <v>334</v>
      </c>
      <c r="B345" s="12">
        <f>MAX(0,'Deal Analyzer'!$B$4*(1+NORM.INV(RAND(),0,$J$4)))</f>
        <v/>
      </c>
      <c r="C345" s="12">
        <f>'Deal Analyzer'!$B$5*MAX(0.9,1+NORM.INV(RAND(),$J$5,$J$6))</f>
        <v/>
      </c>
      <c r="D345" s="12">
        <f>'Deal Analyzer'!$B$24+C345+B345*'Deal Analyzer'!$B$11</f>
        <v/>
      </c>
      <c r="E345" s="15">
        <f>IF(B345=0,0,(B345-D345)/B345)</f>
        <v/>
      </c>
      <c r="F345" s="2">
        <f>E345&gt;='Deal Analyzer'!$B$12</f>
        <v/>
      </c>
      <c r="G345" s="12">
        <f>IF(AND(F345,RAND()&lt;$J$7),'Deal Analyzer'!$B$8-'Deal Analyzer'!$B$10,-('Deal Analyzer'!$B$10+'Deal Analyzer'!$B$9*'Deal Analyzer'!$B$14))</f>
        <v/>
      </c>
      <c r="H345" s="2" t="n"/>
      <c r="I345" s="2" t="n"/>
      <c r="J345" s="2" t="n"/>
      <c r="K345" s="2" t="n"/>
    </row>
    <row r="346">
      <c r="A346" s="2" t="n">
        <v>335</v>
      </c>
      <c r="B346" s="12">
        <f>MAX(0,'Deal Analyzer'!$B$4*(1+NORM.INV(RAND(),0,$J$4)))</f>
        <v/>
      </c>
      <c r="C346" s="12">
        <f>'Deal Analyzer'!$B$5*MAX(0.9,1+NORM.INV(RAND(),$J$5,$J$6))</f>
        <v/>
      </c>
      <c r="D346" s="12">
        <f>'Deal Analyzer'!$B$24+C346+B346*'Deal Analyzer'!$B$11</f>
        <v/>
      </c>
      <c r="E346" s="15">
        <f>IF(B346=0,0,(B346-D346)/B346)</f>
        <v/>
      </c>
      <c r="F346" s="2">
        <f>E346&gt;='Deal Analyzer'!$B$12</f>
        <v/>
      </c>
      <c r="G346" s="12">
        <f>IF(AND(F346,RAND()&lt;$J$7),'Deal Analyzer'!$B$8-'Deal Analyzer'!$B$10,-('Deal Analyzer'!$B$10+'Deal Analyzer'!$B$9*'Deal Analyzer'!$B$14))</f>
        <v/>
      </c>
      <c r="H346" s="2" t="n"/>
      <c r="I346" s="2" t="n"/>
      <c r="J346" s="2" t="n"/>
      <c r="K346" s="2" t="n"/>
    </row>
    <row r="347">
      <c r="A347" s="2" t="n">
        <v>336</v>
      </c>
      <c r="B347" s="12">
        <f>MAX(0,'Deal Analyzer'!$B$4*(1+NORM.INV(RAND(),0,$J$4)))</f>
        <v/>
      </c>
      <c r="C347" s="12">
        <f>'Deal Analyzer'!$B$5*MAX(0.9,1+NORM.INV(RAND(),$J$5,$J$6))</f>
        <v/>
      </c>
      <c r="D347" s="12">
        <f>'Deal Analyzer'!$B$24+C347+B347*'Deal Analyzer'!$B$11</f>
        <v/>
      </c>
      <c r="E347" s="15">
        <f>IF(B347=0,0,(B347-D347)/B347)</f>
        <v/>
      </c>
      <c r="F347" s="2">
        <f>E347&gt;='Deal Analyzer'!$B$12</f>
        <v/>
      </c>
      <c r="G347" s="12">
        <f>IF(AND(F347,RAND()&lt;$J$7),'Deal Analyzer'!$B$8-'Deal Analyzer'!$B$10,-('Deal Analyzer'!$B$10+'Deal Analyzer'!$B$9*'Deal Analyzer'!$B$14))</f>
        <v/>
      </c>
      <c r="H347" s="2" t="n"/>
      <c r="I347" s="2" t="n"/>
      <c r="J347" s="2" t="n"/>
      <c r="K347" s="2" t="n"/>
    </row>
    <row r="348">
      <c r="A348" s="2" t="n">
        <v>337</v>
      </c>
      <c r="B348" s="12">
        <f>MAX(0,'Deal Analyzer'!$B$4*(1+NORM.INV(RAND(),0,$J$4)))</f>
        <v/>
      </c>
      <c r="C348" s="12">
        <f>'Deal Analyzer'!$B$5*MAX(0.9,1+NORM.INV(RAND(),$J$5,$J$6))</f>
        <v/>
      </c>
      <c r="D348" s="12">
        <f>'Deal Analyzer'!$B$24+C348+B348*'Deal Analyzer'!$B$11</f>
        <v/>
      </c>
      <c r="E348" s="15">
        <f>IF(B348=0,0,(B348-D348)/B348)</f>
        <v/>
      </c>
      <c r="F348" s="2">
        <f>E348&gt;='Deal Analyzer'!$B$12</f>
        <v/>
      </c>
      <c r="G348" s="12">
        <f>IF(AND(F348,RAND()&lt;$J$7),'Deal Analyzer'!$B$8-'Deal Analyzer'!$B$10,-('Deal Analyzer'!$B$10+'Deal Analyzer'!$B$9*'Deal Analyzer'!$B$14))</f>
        <v/>
      </c>
      <c r="H348" s="2" t="n"/>
      <c r="I348" s="2" t="n"/>
      <c r="J348" s="2" t="n"/>
      <c r="K348" s="2" t="n"/>
    </row>
    <row r="349">
      <c r="A349" s="2" t="n">
        <v>338</v>
      </c>
      <c r="B349" s="12">
        <f>MAX(0,'Deal Analyzer'!$B$4*(1+NORM.INV(RAND(),0,$J$4)))</f>
        <v/>
      </c>
      <c r="C349" s="12">
        <f>'Deal Analyzer'!$B$5*MAX(0.9,1+NORM.INV(RAND(),$J$5,$J$6))</f>
        <v/>
      </c>
      <c r="D349" s="12">
        <f>'Deal Analyzer'!$B$24+C349+B349*'Deal Analyzer'!$B$11</f>
        <v/>
      </c>
      <c r="E349" s="15">
        <f>IF(B349=0,0,(B349-D349)/B349)</f>
        <v/>
      </c>
      <c r="F349" s="2">
        <f>E349&gt;='Deal Analyzer'!$B$12</f>
        <v/>
      </c>
      <c r="G349" s="12">
        <f>IF(AND(F349,RAND()&lt;$J$7),'Deal Analyzer'!$B$8-'Deal Analyzer'!$B$10,-('Deal Analyzer'!$B$10+'Deal Analyzer'!$B$9*'Deal Analyzer'!$B$14))</f>
        <v/>
      </c>
      <c r="H349" s="2" t="n"/>
      <c r="I349" s="2" t="n"/>
      <c r="J349" s="2" t="n"/>
      <c r="K349" s="2" t="n"/>
    </row>
    <row r="350">
      <c r="A350" s="2" t="n">
        <v>339</v>
      </c>
      <c r="B350" s="12">
        <f>MAX(0,'Deal Analyzer'!$B$4*(1+NORM.INV(RAND(),0,$J$4)))</f>
        <v/>
      </c>
      <c r="C350" s="12">
        <f>'Deal Analyzer'!$B$5*MAX(0.9,1+NORM.INV(RAND(),$J$5,$J$6))</f>
        <v/>
      </c>
      <c r="D350" s="12">
        <f>'Deal Analyzer'!$B$24+C350+B350*'Deal Analyzer'!$B$11</f>
        <v/>
      </c>
      <c r="E350" s="15">
        <f>IF(B350=0,0,(B350-D350)/B350)</f>
        <v/>
      </c>
      <c r="F350" s="2">
        <f>E350&gt;='Deal Analyzer'!$B$12</f>
        <v/>
      </c>
      <c r="G350" s="12">
        <f>IF(AND(F350,RAND()&lt;$J$7),'Deal Analyzer'!$B$8-'Deal Analyzer'!$B$10,-('Deal Analyzer'!$B$10+'Deal Analyzer'!$B$9*'Deal Analyzer'!$B$14))</f>
        <v/>
      </c>
      <c r="H350" s="2" t="n"/>
      <c r="I350" s="2" t="n"/>
      <c r="J350" s="2" t="n"/>
      <c r="K350" s="2" t="n"/>
    </row>
    <row r="351">
      <c r="A351" s="2" t="n">
        <v>340</v>
      </c>
      <c r="B351" s="12">
        <f>MAX(0,'Deal Analyzer'!$B$4*(1+NORM.INV(RAND(),0,$J$4)))</f>
        <v/>
      </c>
      <c r="C351" s="12">
        <f>'Deal Analyzer'!$B$5*MAX(0.9,1+NORM.INV(RAND(),$J$5,$J$6))</f>
        <v/>
      </c>
      <c r="D351" s="12">
        <f>'Deal Analyzer'!$B$24+C351+B351*'Deal Analyzer'!$B$11</f>
        <v/>
      </c>
      <c r="E351" s="15">
        <f>IF(B351=0,0,(B351-D351)/B351)</f>
        <v/>
      </c>
      <c r="F351" s="2">
        <f>E351&gt;='Deal Analyzer'!$B$12</f>
        <v/>
      </c>
      <c r="G351" s="12">
        <f>IF(AND(F351,RAND()&lt;$J$7),'Deal Analyzer'!$B$8-'Deal Analyzer'!$B$10,-('Deal Analyzer'!$B$10+'Deal Analyzer'!$B$9*'Deal Analyzer'!$B$14))</f>
        <v/>
      </c>
      <c r="H351" s="2" t="n"/>
      <c r="I351" s="2" t="n"/>
      <c r="J351" s="2" t="n"/>
      <c r="K351" s="2" t="n"/>
    </row>
    <row r="352">
      <c r="A352" s="2" t="n">
        <v>341</v>
      </c>
      <c r="B352" s="12">
        <f>MAX(0,'Deal Analyzer'!$B$4*(1+NORM.INV(RAND(),0,$J$4)))</f>
        <v/>
      </c>
      <c r="C352" s="12">
        <f>'Deal Analyzer'!$B$5*MAX(0.9,1+NORM.INV(RAND(),$J$5,$J$6))</f>
        <v/>
      </c>
      <c r="D352" s="12">
        <f>'Deal Analyzer'!$B$24+C352+B352*'Deal Analyzer'!$B$11</f>
        <v/>
      </c>
      <c r="E352" s="15">
        <f>IF(B352=0,0,(B352-D352)/B352)</f>
        <v/>
      </c>
      <c r="F352" s="2">
        <f>E352&gt;='Deal Analyzer'!$B$12</f>
        <v/>
      </c>
      <c r="G352" s="12">
        <f>IF(AND(F352,RAND()&lt;$J$7),'Deal Analyzer'!$B$8-'Deal Analyzer'!$B$10,-('Deal Analyzer'!$B$10+'Deal Analyzer'!$B$9*'Deal Analyzer'!$B$14))</f>
        <v/>
      </c>
      <c r="H352" s="2" t="n"/>
      <c r="I352" s="2" t="n"/>
      <c r="J352" s="2" t="n"/>
      <c r="K352" s="2" t="n"/>
    </row>
    <row r="353">
      <c r="A353" s="2" t="n">
        <v>342</v>
      </c>
      <c r="B353" s="12">
        <f>MAX(0,'Deal Analyzer'!$B$4*(1+NORM.INV(RAND(),0,$J$4)))</f>
        <v/>
      </c>
      <c r="C353" s="12">
        <f>'Deal Analyzer'!$B$5*MAX(0.9,1+NORM.INV(RAND(),$J$5,$J$6))</f>
        <v/>
      </c>
      <c r="D353" s="12">
        <f>'Deal Analyzer'!$B$24+C353+B353*'Deal Analyzer'!$B$11</f>
        <v/>
      </c>
      <c r="E353" s="15">
        <f>IF(B353=0,0,(B353-D353)/B353)</f>
        <v/>
      </c>
      <c r="F353" s="2">
        <f>E353&gt;='Deal Analyzer'!$B$12</f>
        <v/>
      </c>
      <c r="G353" s="12">
        <f>IF(AND(F353,RAND()&lt;$J$7),'Deal Analyzer'!$B$8-'Deal Analyzer'!$B$10,-('Deal Analyzer'!$B$10+'Deal Analyzer'!$B$9*'Deal Analyzer'!$B$14))</f>
        <v/>
      </c>
      <c r="H353" s="2" t="n"/>
      <c r="I353" s="2" t="n"/>
      <c r="J353" s="2" t="n"/>
      <c r="K353" s="2" t="n"/>
    </row>
    <row r="354">
      <c r="A354" s="2" t="n">
        <v>343</v>
      </c>
      <c r="B354" s="12">
        <f>MAX(0,'Deal Analyzer'!$B$4*(1+NORM.INV(RAND(),0,$J$4)))</f>
        <v/>
      </c>
      <c r="C354" s="12">
        <f>'Deal Analyzer'!$B$5*MAX(0.9,1+NORM.INV(RAND(),$J$5,$J$6))</f>
        <v/>
      </c>
      <c r="D354" s="12">
        <f>'Deal Analyzer'!$B$24+C354+B354*'Deal Analyzer'!$B$11</f>
        <v/>
      </c>
      <c r="E354" s="15">
        <f>IF(B354=0,0,(B354-D354)/B354)</f>
        <v/>
      </c>
      <c r="F354" s="2">
        <f>E354&gt;='Deal Analyzer'!$B$12</f>
        <v/>
      </c>
      <c r="G354" s="12">
        <f>IF(AND(F354,RAND()&lt;$J$7),'Deal Analyzer'!$B$8-'Deal Analyzer'!$B$10,-('Deal Analyzer'!$B$10+'Deal Analyzer'!$B$9*'Deal Analyzer'!$B$14))</f>
        <v/>
      </c>
      <c r="H354" s="2" t="n"/>
      <c r="I354" s="2" t="n"/>
      <c r="J354" s="2" t="n"/>
      <c r="K354" s="2" t="n"/>
    </row>
    <row r="355">
      <c r="A355" s="2" t="n">
        <v>344</v>
      </c>
      <c r="B355" s="12">
        <f>MAX(0,'Deal Analyzer'!$B$4*(1+NORM.INV(RAND(),0,$J$4)))</f>
        <v/>
      </c>
      <c r="C355" s="12">
        <f>'Deal Analyzer'!$B$5*MAX(0.9,1+NORM.INV(RAND(),$J$5,$J$6))</f>
        <v/>
      </c>
      <c r="D355" s="12">
        <f>'Deal Analyzer'!$B$24+C355+B355*'Deal Analyzer'!$B$11</f>
        <v/>
      </c>
      <c r="E355" s="15">
        <f>IF(B355=0,0,(B355-D355)/B355)</f>
        <v/>
      </c>
      <c r="F355" s="2">
        <f>E355&gt;='Deal Analyzer'!$B$12</f>
        <v/>
      </c>
      <c r="G355" s="12">
        <f>IF(AND(F355,RAND()&lt;$J$7),'Deal Analyzer'!$B$8-'Deal Analyzer'!$B$10,-('Deal Analyzer'!$B$10+'Deal Analyzer'!$B$9*'Deal Analyzer'!$B$14))</f>
        <v/>
      </c>
      <c r="H355" s="2" t="n"/>
      <c r="I355" s="2" t="n"/>
      <c r="J355" s="2" t="n"/>
      <c r="K355" s="2" t="n"/>
    </row>
    <row r="356">
      <c r="A356" s="2" t="n">
        <v>345</v>
      </c>
      <c r="B356" s="12">
        <f>MAX(0,'Deal Analyzer'!$B$4*(1+NORM.INV(RAND(),0,$J$4)))</f>
        <v/>
      </c>
      <c r="C356" s="12">
        <f>'Deal Analyzer'!$B$5*MAX(0.9,1+NORM.INV(RAND(),$J$5,$J$6))</f>
        <v/>
      </c>
      <c r="D356" s="12">
        <f>'Deal Analyzer'!$B$24+C356+B356*'Deal Analyzer'!$B$11</f>
        <v/>
      </c>
      <c r="E356" s="15">
        <f>IF(B356=0,0,(B356-D356)/B356)</f>
        <v/>
      </c>
      <c r="F356" s="2">
        <f>E356&gt;='Deal Analyzer'!$B$12</f>
        <v/>
      </c>
      <c r="G356" s="12">
        <f>IF(AND(F356,RAND()&lt;$J$7),'Deal Analyzer'!$B$8-'Deal Analyzer'!$B$10,-('Deal Analyzer'!$B$10+'Deal Analyzer'!$B$9*'Deal Analyzer'!$B$14))</f>
        <v/>
      </c>
      <c r="H356" s="2" t="n"/>
      <c r="I356" s="2" t="n"/>
      <c r="J356" s="2" t="n"/>
      <c r="K356" s="2" t="n"/>
    </row>
    <row r="357">
      <c r="A357" s="2" t="n">
        <v>346</v>
      </c>
      <c r="B357" s="12">
        <f>MAX(0,'Deal Analyzer'!$B$4*(1+NORM.INV(RAND(),0,$J$4)))</f>
        <v/>
      </c>
      <c r="C357" s="12">
        <f>'Deal Analyzer'!$B$5*MAX(0.9,1+NORM.INV(RAND(),$J$5,$J$6))</f>
        <v/>
      </c>
      <c r="D357" s="12">
        <f>'Deal Analyzer'!$B$24+C357+B357*'Deal Analyzer'!$B$11</f>
        <v/>
      </c>
      <c r="E357" s="15">
        <f>IF(B357=0,0,(B357-D357)/B357)</f>
        <v/>
      </c>
      <c r="F357" s="2">
        <f>E357&gt;='Deal Analyzer'!$B$12</f>
        <v/>
      </c>
      <c r="G357" s="12">
        <f>IF(AND(F357,RAND()&lt;$J$7),'Deal Analyzer'!$B$8-'Deal Analyzer'!$B$10,-('Deal Analyzer'!$B$10+'Deal Analyzer'!$B$9*'Deal Analyzer'!$B$14))</f>
        <v/>
      </c>
      <c r="H357" s="2" t="n"/>
      <c r="I357" s="2" t="n"/>
      <c r="J357" s="2" t="n"/>
      <c r="K357" s="2" t="n"/>
    </row>
    <row r="358">
      <c r="A358" s="2" t="n">
        <v>347</v>
      </c>
      <c r="B358" s="12">
        <f>MAX(0,'Deal Analyzer'!$B$4*(1+NORM.INV(RAND(),0,$J$4)))</f>
        <v/>
      </c>
      <c r="C358" s="12">
        <f>'Deal Analyzer'!$B$5*MAX(0.9,1+NORM.INV(RAND(),$J$5,$J$6))</f>
        <v/>
      </c>
      <c r="D358" s="12">
        <f>'Deal Analyzer'!$B$24+C358+B358*'Deal Analyzer'!$B$11</f>
        <v/>
      </c>
      <c r="E358" s="15">
        <f>IF(B358=0,0,(B358-D358)/B358)</f>
        <v/>
      </c>
      <c r="F358" s="2">
        <f>E358&gt;='Deal Analyzer'!$B$12</f>
        <v/>
      </c>
      <c r="G358" s="12">
        <f>IF(AND(F358,RAND()&lt;$J$7),'Deal Analyzer'!$B$8-'Deal Analyzer'!$B$10,-('Deal Analyzer'!$B$10+'Deal Analyzer'!$B$9*'Deal Analyzer'!$B$14))</f>
        <v/>
      </c>
      <c r="H358" s="2" t="n"/>
      <c r="I358" s="2" t="n"/>
      <c r="J358" s="2" t="n"/>
      <c r="K358" s="2" t="n"/>
    </row>
    <row r="359">
      <c r="A359" s="2" t="n">
        <v>348</v>
      </c>
      <c r="B359" s="12">
        <f>MAX(0,'Deal Analyzer'!$B$4*(1+NORM.INV(RAND(),0,$J$4)))</f>
        <v/>
      </c>
      <c r="C359" s="12">
        <f>'Deal Analyzer'!$B$5*MAX(0.9,1+NORM.INV(RAND(),$J$5,$J$6))</f>
        <v/>
      </c>
      <c r="D359" s="12">
        <f>'Deal Analyzer'!$B$24+C359+B359*'Deal Analyzer'!$B$11</f>
        <v/>
      </c>
      <c r="E359" s="15">
        <f>IF(B359=0,0,(B359-D359)/B359)</f>
        <v/>
      </c>
      <c r="F359" s="2">
        <f>E359&gt;='Deal Analyzer'!$B$12</f>
        <v/>
      </c>
      <c r="G359" s="12">
        <f>IF(AND(F359,RAND()&lt;$J$7),'Deal Analyzer'!$B$8-'Deal Analyzer'!$B$10,-('Deal Analyzer'!$B$10+'Deal Analyzer'!$B$9*'Deal Analyzer'!$B$14))</f>
        <v/>
      </c>
      <c r="H359" s="2" t="n"/>
      <c r="I359" s="2" t="n"/>
      <c r="J359" s="2" t="n"/>
      <c r="K359" s="2" t="n"/>
    </row>
    <row r="360">
      <c r="A360" s="2" t="n">
        <v>349</v>
      </c>
      <c r="B360" s="12">
        <f>MAX(0,'Deal Analyzer'!$B$4*(1+NORM.INV(RAND(),0,$J$4)))</f>
        <v/>
      </c>
      <c r="C360" s="12">
        <f>'Deal Analyzer'!$B$5*MAX(0.9,1+NORM.INV(RAND(),$J$5,$J$6))</f>
        <v/>
      </c>
      <c r="D360" s="12">
        <f>'Deal Analyzer'!$B$24+C360+B360*'Deal Analyzer'!$B$11</f>
        <v/>
      </c>
      <c r="E360" s="15">
        <f>IF(B360=0,0,(B360-D360)/B360)</f>
        <v/>
      </c>
      <c r="F360" s="2">
        <f>E360&gt;='Deal Analyzer'!$B$12</f>
        <v/>
      </c>
      <c r="G360" s="12">
        <f>IF(AND(F360,RAND()&lt;$J$7),'Deal Analyzer'!$B$8-'Deal Analyzer'!$B$10,-('Deal Analyzer'!$B$10+'Deal Analyzer'!$B$9*'Deal Analyzer'!$B$14))</f>
        <v/>
      </c>
      <c r="H360" s="2" t="n"/>
      <c r="I360" s="2" t="n"/>
      <c r="J360" s="2" t="n"/>
      <c r="K360" s="2" t="n"/>
    </row>
    <row r="361">
      <c r="A361" s="2" t="n">
        <v>350</v>
      </c>
      <c r="B361" s="12">
        <f>MAX(0,'Deal Analyzer'!$B$4*(1+NORM.INV(RAND(),0,$J$4)))</f>
        <v/>
      </c>
      <c r="C361" s="12">
        <f>'Deal Analyzer'!$B$5*MAX(0.9,1+NORM.INV(RAND(),$J$5,$J$6))</f>
        <v/>
      </c>
      <c r="D361" s="12">
        <f>'Deal Analyzer'!$B$24+C361+B361*'Deal Analyzer'!$B$11</f>
        <v/>
      </c>
      <c r="E361" s="15">
        <f>IF(B361=0,0,(B361-D361)/B361)</f>
        <v/>
      </c>
      <c r="F361" s="2">
        <f>E361&gt;='Deal Analyzer'!$B$12</f>
        <v/>
      </c>
      <c r="G361" s="12">
        <f>IF(AND(F361,RAND()&lt;$J$7),'Deal Analyzer'!$B$8-'Deal Analyzer'!$B$10,-('Deal Analyzer'!$B$10+'Deal Analyzer'!$B$9*'Deal Analyzer'!$B$14))</f>
        <v/>
      </c>
      <c r="H361" s="2" t="n"/>
      <c r="I361" s="2" t="n"/>
      <c r="J361" s="2" t="n"/>
      <c r="K361" s="2" t="n"/>
    </row>
    <row r="362">
      <c r="A362" s="2" t="n">
        <v>351</v>
      </c>
      <c r="B362" s="12">
        <f>MAX(0,'Deal Analyzer'!$B$4*(1+NORM.INV(RAND(),0,$J$4)))</f>
        <v/>
      </c>
      <c r="C362" s="12">
        <f>'Deal Analyzer'!$B$5*MAX(0.9,1+NORM.INV(RAND(),$J$5,$J$6))</f>
        <v/>
      </c>
      <c r="D362" s="12">
        <f>'Deal Analyzer'!$B$24+C362+B362*'Deal Analyzer'!$B$11</f>
        <v/>
      </c>
      <c r="E362" s="15">
        <f>IF(B362=0,0,(B362-D362)/B362)</f>
        <v/>
      </c>
      <c r="F362" s="2">
        <f>E362&gt;='Deal Analyzer'!$B$12</f>
        <v/>
      </c>
      <c r="G362" s="12">
        <f>IF(AND(F362,RAND()&lt;$J$7),'Deal Analyzer'!$B$8-'Deal Analyzer'!$B$10,-('Deal Analyzer'!$B$10+'Deal Analyzer'!$B$9*'Deal Analyzer'!$B$14))</f>
        <v/>
      </c>
      <c r="H362" s="2" t="n"/>
      <c r="I362" s="2" t="n"/>
      <c r="J362" s="2" t="n"/>
      <c r="K362" s="2" t="n"/>
    </row>
    <row r="363">
      <c r="A363" s="2" t="n">
        <v>352</v>
      </c>
      <c r="B363" s="12">
        <f>MAX(0,'Deal Analyzer'!$B$4*(1+NORM.INV(RAND(),0,$J$4)))</f>
        <v/>
      </c>
      <c r="C363" s="12">
        <f>'Deal Analyzer'!$B$5*MAX(0.9,1+NORM.INV(RAND(),$J$5,$J$6))</f>
        <v/>
      </c>
      <c r="D363" s="12">
        <f>'Deal Analyzer'!$B$24+C363+B363*'Deal Analyzer'!$B$11</f>
        <v/>
      </c>
      <c r="E363" s="15">
        <f>IF(B363=0,0,(B363-D363)/B363)</f>
        <v/>
      </c>
      <c r="F363" s="2">
        <f>E363&gt;='Deal Analyzer'!$B$12</f>
        <v/>
      </c>
      <c r="G363" s="12">
        <f>IF(AND(F363,RAND()&lt;$J$7),'Deal Analyzer'!$B$8-'Deal Analyzer'!$B$10,-('Deal Analyzer'!$B$10+'Deal Analyzer'!$B$9*'Deal Analyzer'!$B$14))</f>
        <v/>
      </c>
      <c r="H363" s="2" t="n"/>
      <c r="I363" s="2" t="n"/>
      <c r="J363" s="2" t="n"/>
      <c r="K363" s="2" t="n"/>
    </row>
    <row r="364">
      <c r="A364" s="2" t="n">
        <v>353</v>
      </c>
      <c r="B364" s="12">
        <f>MAX(0,'Deal Analyzer'!$B$4*(1+NORM.INV(RAND(),0,$J$4)))</f>
        <v/>
      </c>
      <c r="C364" s="12">
        <f>'Deal Analyzer'!$B$5*MAX(0.9,1+NORM.INV(RAND(),$J$5,$J$6))</f>
        <v/>
      </c>
      <c r="D364" s="12">
        <f>'Deal Analyzer'!$B$24+C364+B364*'Deal Analyzer'!$B$11</f>
        <v/>
      </c>
      <c r="E364" s="15">
        <f>IF(B364=0,0,(B364-D364)/B364)</f>
        <v/>
      </c>
      <c r="F364" s="2">
        <f>E364&gt;='Deal Analyzer'!$B$12</f>
        <v/>
      </c>
      <c r="G364" s="12">
        <f>IF(AND(F364,RAND()&lt;$J$7),'Deal Analyzer'!$B$8-'Deal Analyzer'!$B$10,-('Deal Analyzer'!$B$10+'Deal Analyzer'!$B$9*'Deal Analyzer'!$B$14))</f>
        <v/>
      </c>
      <c r="H364" s="2" t="n"/>
      <c r="I364" s="2" t="n"/>
      <c r="J364" s="2" t="n"/>
      <c r="K364" s="2" t="n"/>
    </row>
    <row r="365">
      <c r="A365" s="2" t="n">
        <v>354</v>
      </c>
      <c r="B365" s="12">
        <f>MAX(0,'Deal Analyzer'!$B$4*(1+NORM.INV(RAND(),0,$J$4)))</f>
        <v/>
      </c>
      <c r="C365" s="12">
        <f>'Deal Analyzer'!$B$5*MAX(0.9,1+NORM.INV(RAND(),$J$5,$J$6))</f>
        <v/>
      </c>
      <c r="D365" s="12">
        <f>'Deal Analyzer'!$B$24+C365+B365*'Deal Analyzer'!$B$11</f>
        <v/>
      </c>
      <c r="E365" s="15">
        <f>IF(B365=0,0,(B365-D365)/B365)</f>
        <v/>
      </c>
      <c r="F365" s="2">
        <f>E365&gt;='Deal Analyzer'!$B$12</f>
        <v/>
      </c>
      <c r="G365" s="12">
        <f>IF(AND(F365,RAND()&lt;$J$7),'Deal Analyzer'!$B$8-'Deal Analyzer'!$B$10,-('Deal Analyzer'!$B$10+'Deal Analyzer'!$B$9*'Deal Analyzer'!$B$14))</f>
        <v/>
      </c>
      <c r="H365" s="2" t="n"/>
      <c r="I365" s="2" t="n"/>
      <c r="J365" s="2" t="n"/>
      <c r="K365" s="2" t="n"/>
    </row>
    <row r="366">
      <c r="A366" s="2" t="n">
        <v>355</v>
      </c>
      <c r="B366" s="12">
        <f>MAX(0,'Deal Analyzer'!$B$4*(1+NORM.INV(RAND(),0,$J$4)))</f>
        <v/>
      </c>
      <c r="C366" s="12">
        <f>'Deal Analyzer'!$B$5*MAX(0.9,1+NORM.INV(RAND(),$J$5,$J$6))</f>
        <v/>
      </c>
      <c r="D366" s="12">
        <f>'Deal Analyzer'!$B$24+C366+B366*'Deal Analyzer'!$B$11</f>
        <v/>
      </c>
      <c r="E366" s="15">
        <f>IF(B366=0,0,(B366-D366)/B366)</f>
        <v/>
      </c>
      <c r="F366" s="2">
        <f>E366&gt;='Deal Analyzer'!$B$12</f>
        <v/>
      </c>
      <c r="G366" s="12">
        <f>IF(AND(F366,RAND()&lt;$J$7),'Deal Analyzer'!$B$8-'Deal Analyzer'!$B$10,-('Deal Analyzer'!$B$10+'Deal Analyzer'!$B$9*'Deal Analyzer'!$B$14))</f>
        <v/>
      </c>
      <c r="H366" s="2" t="n"/>
      <c r="I366" s="2" t="n"/>
      <c r="J366" s="2" t="n"/>
      <c r="K366" s="2" t="n"/>
    </row>
    <row r="367">
      <c r="A367" s="2" t="n">
        <v>356</v>
      </c>
      <c r="B367" s="12">
        <f>MAX(0,'Deal Analyzer'!$B$4*(1+NORM.INV(RAND(),0,$J$4)))</f>
        <v/>
      </c>
      <c r="C367" s="12">
        <f>'Deal Analyzer'!$B$5*MAX(0.9,1+NORM.INV(RAND(),$J$5,$J$6))</f>
        <v/>
      </c>
      <c r="D367" s="12">
        <f>'Deal Analyzer'!$B$24+C367+B367*'Deal Analyzer'!$B$11</f>
        <v/>
      </c>
      <c r="E367" s="15">
        <f>IF(B367=0,0,(B367-D367)/B367)</f>
        <v/>
      </c>
      <c r="F367" s="2">
        <f>E367&gt;='Deal Analyzer'!$B$12</f>
        <v/>
      </c>
      <c r="G367" s="12">
        <f>IF(AND(F367,RAND()&lt;$J$7),'Deal Analyzer'!$B$8-'Deal Analyzer'!$B$10,-('Deal Analyzer'!$B$10+'Deal Analyzer'!$B$9*'Deal Analyzer'!$B$14))</f>
        <v/>
      </c>
      <c r="H367" s="2" t="n"/>
      <c r="I367" s="2" t="n"/>
      <c r="J367" s="2" t="n"/>
      <c r="K367" s="2" t="n"/>
    </row>
    <row r="368">
      <c r="A368" s="2" t="n">
        <v>357</v>
      </c>
      <c r="B368" s="12">
        <f>MAX(0,'Deal Analyzer'!$B$4*(1+NORM.INV(RAND(),0,$J$4)))</f>
        <v/>
      </c>
      <c r="C368" s="12">
        <f>'Deal Analyzer'!$B$5*MAX(0.9,1+NORM.INV(RAND(),$J$5,$J$6))</f>
        <v/>
      </c>
      <c r="D368" s="12">
        <f>'Deal Analyzer'!$B$24+C368+B368*'Deal Analyzer'!$B$11</f>
        <v/>
      </c>
      <c r="E368" s="15">
        <f>IF(B368=0,0,(B368-D368)/B368)</f>
        <v/>
      </c>
      <c r="F368" s="2">
        <f>E368&gt;='Deal Analyzer'!$B$12</f>
        <v/>
      </c>
      <c r="G368" s="12">
        <f>IF(AND(F368,RAND()&lt;$J$7),'Deal Analyzer'!$B$8-'Deal Analyzer'!$B$10,-('Deal Analyzer'!$B$10+'Deal Analyzer'!$B$9*'Deal Analyzer'!$B$14))</f>
        <v/>
      </c>
      <c r="H368" s="2" t="n"/>
      <c r="I368" s="2" t="n"/>
      <c r="J368" s="2" t="n"/>
      <c r="K368" s="2" t="n"/>
    </row>
    <row r="369">
      <c r="A369" s="2" t="n">
        <v>358</v>
      </c>
      <c r="B369" s="12">
        <f>MAX(0,'Deal Analyzer'!$B$4*(1+NORM.INV(RAND(),0,$J$4)))</f>
        <v/>
      </c>
      <c r="C369" s="12">
        <f>'Deal Analyzer'!$B$5*MAX(0.9,1+NORM.INV(RAND(),$J$5,$J$6))</f>
        <v/>
      </c>
      <c r="D369" s="12">
        <f>'Deal Analyzer'!$B$24+C369+B369*'Deal Analyzer'!$B$11</f>
        <v/>
      </c>
      <c r="E369" s="15">
        <f>IF(B369=0,0,(B369-D369)/B369)</f>
        <v/>
      </c>
      <c r="F369" s="2">
        <f>E369&gt;='Deal Analyzer'!$B$12</f>
        <v/>
      </c>
      <c r="G369" s="12">
        <f>IF(AND(F369,RAND()&lt;$J$7),'Deal Analyzer'!$B$8-'Deal Analyzer'!$B$10,-('Deal Analyzer'!$B$10+'Deal Analyzer'!$B$9*'Deal Analyzer'!$B$14))</f>
        <v/>
      </c>
      <c r="H369" s="2" t="n"/>
      <c r="I369" s="2" t="n"/>
      <c r="J369" s="2" t="n"/>
      <c r="K369" s="2" t="n"/>
    </row>
    <row r="370">
      <c r="A370" s="2" t="n">
        <v>359</v>
      </c>
      <c r="B370" s="12">
        <f>MAX(0,'Deal Analyzer'!$B$4*(1+NORM.INV(RAND(),0,$J$4)))</f>
        <v/>
      </c>
      <c r="C370" s="12">
        <f>'Deal Analyzer'!$B$5*MAX(0.9,1+NORM.INV(RAND(),$J$5,$J$6))</f>
        <v/>
      </c>
      <c r="D370" s="12">
        <f>'Deal Analyzer'!$B$24+C370+B370*'Deal Analyzer'!$B$11</f>
        <v/>
      </c>
      <c r="E370" s="15">
        <f>IF(B370=0,0,(B370-D370)/B370)</f>
        <v/>
      </c>
      <c r="F370" s="2">
        <f>E370&gt;='Deal Analyzer'!$B$12</f>
        <v/>
      </c>
      <c r="G370" s="12">
        <f>IF(AND(F370,RAND()&lt;$J$7),'Deal Analyzer'!$B$8-'Deal Analyzer'!$B$10,-('Deal Analyzer'!$B$10+'Deal Analyzer'!$B$9*'Deal Analyzer'!$B$14))</f>
        <v/>
      </c>
      <c r="H370" s="2" t="n"/>
      <c r="I370" s="2" t="n"/>
      <c r="J370" s="2" t="n"/>
      <c r="K370" s="2" t="n"/>
    </row>
    <row r="371">
      <c r="A371" s="2" t="n">
        <v>360</v>
      </c>
      <c r="B371" s="12">
        <f>MAX(0,'Deal Analyzer'!$B$4*(1+NORM.INV(RAND(),0,$J$4)))</f>
        <v/>
      </c>
      <c r="C371" s="12">
        <f>'Deal Analyzer'!$B$5*MAX(0.9,1+NORM.INV(RAND(),$J$5,$J$6))</f>
        <v/>
      </c>
      <c r="D371" s="12">
        <f>'Deal Analyzer'!$B$24+C371+B371*'Deal Analyzer'!$B$11</f>
        <v/>
      </c>
      <c r="E371" s="15">
        <f>IF(B371=0,0,(B371-D371)/B371)</f>
        <v/>
      </c>
      <c r="F371" s="2">
        <f>E371&gt;='Deal Analyzer'!$B$12</f>
        <v/>
      </c>
      <c r="G371" s="12">
        <f>IF(AND(F371,RAND()&lt;$J$7),'Deal Analyzer'!$B$8-'Deal Analyzer'!$B$10,-('Deal Analyzer'!$B$10+'Deal Analyzer'!$B$9*'Deal Analyzer'!$B$14))</f>
        <v/>
      </c>
      <c r="H371" s="2" t="n"/>
      <c r="I371" s="2" t="n"/>
      <c r="J371" s="2" t="n"/>
      <c r="K371" s="2" t="n"/>
    </row>
    <row r="372">
      <c r="A372" s="2" t="n">
        <v>361</v>
      </c>
      <c r="B372" s="12">
        <f>MAX(0,'Deal Analyzer'!$B$4*(1+NORM.INV(RAND(),0,$J$4)))</f>
        <v/>
      </c>
      <c r="C372" s="12">
        <f>'Deal Analyzer'!$B$5*MAX(0.9,1+NORM.INV(RAND(),$J$5,$J$6))</f>
        <v/>
      </c>
      <c r="D372" s="12">
        <f>'Deal Analyzer'!$B$24+C372+B372*'Deal Analyzer'!$B$11</f>
        <v/>
      </c>
      <c r="E372" s="15">
        <f>IF(B372=0,0,(B372-D372)/B372)</f>
        <v/>
      </c>
      <c r="F372" s="2">
        <f>E372&gt;='Deal Analyzer'!$B$12</f>
        <v/>
      </c>
      <c r="G372" s="12">
        <f>IF(AND(F372,RAND()&lt;$J$7),'Deal Analyzer'!$B$8-'Deal Analyzer'!$B$10,-('Deal Analyzer'!$B$10+'Deal Analyzer'!$B$9*'Deal Analyzer'!$B$14))</f>
        <v/>
      </c>
      <c r="H372" s="2" t="n"/>
      <c r="I372" s="2" t="n"/>
      <c r="J372" s="2" t="n"/>
      <c r="K372" s="2" t="n"/>
    </row>
    <row r="373">
      <c r="A373" s="2" t="n">
        <v>362</v>
      </c>
      <c r="B373" s="12">
        <f>MAX(0,'Deal Analyzer'!$B$4*(1+NORM.INV(RAND(),0,$J$4)))</f>
        <v/>
      </c>
      <c r="C373" s="12">
        <f>'Deal Analyzer'!$B$5*MAX(0.9,1+NORM.INV(RAND(),$J$5,$J$6))</f>
        <v/>
      </c>
      <c r="D373" s="12">
        <f>'Deal Analyzer'!$B$24+C373+B373*'Deal Analyzer'!$B$11</f>
        <v/>
      </c>
      <c r="E373" s="15">
        <f>IF(B373=0,0,(B373-D373)/B373)</f>
        <v/>
      </c>
      <c r="F373" s="2">
        <f>E373&gt;='Deal Analyzer'!$B$12</f>
        <v/>
      </c>
      <c r="G373" s="12">
        <f>IF(AND(F373,RAND()&lt;$J$7),'Deal Analyzer'!$B$8-'Deal Analyzer'!$B$10,-('Deal Analyzer'!$B$10+'Deal Analyzer'!$B$9*'Deal Analyzer'!$B$14))</f>
        <v/>
      </c>
      <c r="H373" s="2" t="n"/>
      <c r="I373" s="2" t="n"/>
      <c r="J373" s="2" t="n"/>
      <c r="K373" s="2" t="n"/>
    </row>
    <row r="374">
      <c r="A374" s="2" t="n">
        <v>363</v>
      </c>
      <c r="B374" s="12">
        <f>MAX(0,'Deal Analyzer'!$B$4*(1+NORM.INV(RAND(),0,$J$4)))</f>
        <v/>
      </c>
      <c r="C374" s="12">
        <f>'Deal Analyzer'!$B$5*MAX(0.9,1+NORM.INV(RAND(),$J$5,$J$6))</f>
        <v/>
      </c>
      <c r="D374" s="12">
        <f>'Deal Analyzer'!$B$24+C374+B374*'Deal Analyzer'!$B$11</f>
        <v/>
      </c>
      <c r="E374" s="15">
        <f>IF(B374=0,0,(B374-D374)/B374)</f>
        <v/>
      </c>
      <c r="F374" s="2">
        <f>E374&gt;='Deal Analyzer'!$B$12</f>
        <v/>
      </c>
      <c r="G374" s="12">
        <f>IF(AND(F374,RAND()&lt;$J$7),'Deal Analyzer'!$B$8-'Deal Analyzer'!$B$10,-('Deal Analyzer'!$B$10+'Deal Analyzer'!$B$9*'Deal Analyzer'!$B$14))</f>
        <v/>
      </c>
      <c r="H374" s="2" t="n"/>
      <c r="I374" s="2" t="n"/>
      <c r="J374" s="2" t="n"/>
      <c r="K374" s="2" t="n"/>
    </row>
    <row r="375">
      <c r="A375" s="2" t="n">
        <v>364</v>
      </c>
      <c r="B375" s="12">
        <f>MAX(0,'Deal Analyzer'!$B$4*(1+NORM.INV(RAND(),0,$J$4)))</f>
        <v/>
      </c>
      <c r="C375" s="12">
        <f>'Deal Analyzer'!$B$5*MAX(0.9,1+NORM.INV(RAND(),$J$5,$J$6))</f>
        <v/>
      </c>
      <c r="D375" s="12">
        <f>'Deal Analyzer'!$B$24+C375+B375*'Deal Analyzer'!$B$11</f>
        <v/>
      </c>
      <c r="E375" s="15">
        <f>IF(B375=0,0,(B375-D375)/B375)</f>
        <v/>
      </c>
      <c r="F375" s="2">
        <f>E375&gt;='Deal Analyzer'!$B$12</f>
        <v/>
      </c>
      <c r="G375" s="12">
        <f>IF(AND(F375,RAND()&lt;$J$7),'Deal Analyzer'!$B$8-'Deal Analyzer'!$B$10,-('Deal Analyzer'!$B$10+'Deal Analyzer'!$B$9*'Deal Analyzer'!$B$14))</f>
        <v/>
      </c>
      <c r="H375" s="2" t="n"/>
      <c r="I375" s="2" t="n"/>
      <c r="J375" s="2" t="n"/>
      <c r="K375" s="2" t="n"/>
    </row>
    <row r="376">
      <c r="A376" s="2" t="n">
        <v>365</v>
      </c>
      <c r="B376" s="12">
        <f>MAX(0,'Deal Analyzer'!$B$4*(1+NORM.INV(RAND(),0,$J$4)))</f>
        <v/>
      </c>
      <c r="C376" s="12">
        <f>'Deal Analyzer'!$B$5*MAX(0.9,1+NORM.INV(RAND(),$J$5,$J$6))</f>
        <v/>
      </c>
      <c r="D376" s="12">
        <f>'Deal Analyzer'!$B$24+C376+B376*'Deal Analyzer'!$B$11</f>
        <v/>
      </c>
      <c r="E376" s="15">
        <f>IF(B376=0,0,(B376-D376)/B376)</f>
        <v/>
      </c>
      <c r="F376" s="2">
        <f>E376&gt;='Deal Analyzer'!$B$12</f>
        <v/>
      </c>
      <c r="G376" s="12">
        <f>IF(AND(F376,RAND()&lt;$J$7),'Deal Analyzer'!$B$8-'Deal Analyzer'!$B$10,-('Deal Analyzer'!$B$10+'Deal Analyzer'!$B$9*'Deal Analyzer'!$B$14))</f>
        <v/>
      </c>
      <c r="H376" s="2" t="n"/>
      <c r="I376" s="2" t="n"/>
      <c r="J376" s="2" t="n"/>
      <c r="K376" s="2" t="n"/>
    </row>
    <row r="377">
      <c r="A377" s="2" t="n">
        <v>366</v>
      </c>
      <c r="B377" s="12">
        <f>MAX(0,'Deal Analyzer'!$B$4*(1+NORM.INV(RAND(),0,$J$4)))</f>
        <v/>
      </c>
      <c r="C377" s="12">
        <f>'Deal Analyzer'!$B$5*MAX(0.9,1+NORM.INV(RAND(),$J$5,$J$6))</f>
        <v/>
      </c>
      <c r="D377" s="12">
        <f>'Deal Analyzer'!$B$24+C377+B377*'Deal Analyzer'!$B$11</f>
        <v/>
      </c>
      <c r="E377" s="15">
        <f>IF(B377=0,0,(B377-D377)/B377)</f>
        <v/>
      </c>
      <c r="F377" s="2">
        <f>E377&gt;='Deal Analyzer'!$B$12</f>
        <v/>
      </c>
      <c r="G377" s="12">
        <f>IF(AND(F377,RAND()&lt;$J$7),'Deal Analyzer'!$B$8-'Deal Analyzer'!$B$10,-('Deal Analyzer'!$B$10+'Deal Analyzer'!$B$9*'Deal Analyzer'!$B$14))</f>
        <v/>
      </c>
      <c r="H377" s="2" t="n"/>
      <c r="I377" s="2" t="n"/>
      <c r="J377" s="2" t="n"/>
      <c r="K377" s="2" t="n"/>
    </row>
    <row r="378">
      <c r="A378" s="2" t="n">
        <v>367</v>
      </c>
      <c r="B378" s="12">
        <f>MAX(0,'Deal Analyzer'!$B$4*(1+NORM.INV(RAND(),0,$J$4)))</f>
        <v/>
      </c>
      <c r="C378" s="12">
        <f>'Deal Analyzer'!$B$5*MAX(0.9,1+NORM.INV(RAND(),$J$5,$J$6))</f>
        <v/>
      </c>
      <c r="D378" s="12">
        <f>'Deal Analyzer'!$B$24+C378+B378*'Deal Analyzer'!$B$11</f>
        <v/>
      </c>
      <c r="E378" s="15">
        <f>IF(B378=0,0,(B378-D378)/B378)</f>
        <v/>
      </c>
      <c r="F378" s="2">
        <f>E378&gt;='Deal Analyzer'!$B$12</f>
        <v/>
      </c>
      <c r="G378" s="12">
        <f>IF(AND(F378,RAND()&lt;$J$7),'Deal Analyzer'!$B$8-'Deal Analyzer'!$B$10,-('Deal Analyzer'!$B$10+'Deal Analyzer'!$B$9*'Deal Analyzer'!$B$14))</f>
        <v/>
      </c>
      <c r="H378" s="2" t="n"/>
      <c r="I378" s="2" t="n"/>
      <c r="J378" s="2" t="n"/>
      <c r="K378" s="2" t="n"/>
    </row>
    <row r="379">
      <c r="A379" s="2" t="n">
        <v>368</v>
      </c>
      <c r="B379" s="12">
        <f>MAX(0,'Deal Analyzer'!$B$4*(1+NORM.INV(RAND(),0,$J$4)))</f>
        <v/>
      </c>
      <c r="C379" s="12">
        <f>'Deal Analyzer'!$B$5*MAX(0.9,1+NORM.INV(RAND(),$J$5,$J$6))</f>
        <v/>
      </c>
      <c r="D379" s="12">
        <f>'Deal Analyzer'!$B$24+C379+B379*'Deal Analyzer'!$B$11</f>
        <v/>
      </c>
      <c r="E379" s="15">
        <f>IF(B379=0,0,(B379-D379)/B379)</f>
        <v/>
      </c>
      <c r="F379" s="2">
        <f>E379&gt;='Deal Analyzer'!$B$12</f>
        <v/>
      </c>
      <c r="G379" s="12">
        <f>IF(AND(F379,RAND()&lt;$J$7),'Deal Analyzer'!$B$8-'Deal Analyzer'!$B$10,-('Deal Analyzer'!$B$10+'Deal Analyzer'!$B$9*'Deal Analyzer'!$B$14))</f>
        <v/>
      </c>
      <c r="H379" s="2" t="n"/>
      <c r="I379" s="2" t="n"/>
      <c r="J379" s="2" t="n"/>
      <c r="K379" s="2" t="n"/>
    </row>
    <row r="380">
      <c r="A380" s="2" t="n">
        <v>369</v>
      </c>
      <c r="B380" s="12">
        <f>MAX(0,'Deal Analyzer'!$B$4*(1+NORM.INV(RAND(),0,$J$4)))</f>
        <v/>
      </c>
      <c r="C380" s="12">
        <f>'Deal Analyzer'!$B$5*MAX(0.9,1+NORM.INV(RAND(),$J$5,$J$6))</f>
        <v/>
      </c>
      <c r="D380" s="12">
        <f>'Deal Analyzer'!$B$24+C380+B380*'Deal Analyzer'!$B$11</f>
        <v/>
      </c>
      <c r="E380" s="15">
        <f>IF(B380=0,0,(B380-D380)/B380)</f>
        <v/>
      </c>
      <c r="F380" s="2">
        <f>E380&gt;='Deal Analyzer'!$B$12</f>
        <v/>
      </c>
      <c r="G380" s="12">
        <f>IF(AND(F380,RAND()&lt;$J$7),'Deal Analyzer'!$B$8-'Deal Analyzer'!$B$10,-('Deal Analyzer'!$B$10+'Deal Analyzer'!$B$9*'Deal Analyzer'!$B$14))</f>
        <v/>
      </c>
      <c r="H380" s="2" t="n"/>
      <c r="I380" s="2" t="n"/>
      <c r="J380" s="2" t="n"/>
      <c r="K380" s="2" t="n"/>
    </row>
    <row r="381">
      <c r="A381" s="2" t="n">
        <v>370</v>
      </c>
      <c r="B381" s="12">
        <f>MAX(0,'Deal Analyzer'!$B$4*(1+NORM.INV(RAND(),0,$J$4)))</f>
        <v/>
      </c>
      <c r="C381" s="12">
        <f>'Deal Analyzer'!$B$5*MAX(0.9,1+NORM.INV(RAND(),$J$5,$J$6))</f>
        <v/>
      </c>
      <c r="D381" s="12">
        <f>'Deal Analyzer'!$B$24+C381+B381*'Deal Analyzer'!$B$11</f>
        <v/>
      </c>
      <c r="E381" s="15">
        <f>IF(B381=0,0,(B381-D381)/B381)</f>
        <v/>
      </c>
      <c r="F381" s="2">
        <f>E381&gt;='Deal Analyzer'!$B$12</f>
        <v/>
      </c>
      <c r="G381" s="12">
        <f>IF(AND(F381,RAND()&lt;$J$7),'Deal Analyzer'!$B$8-'Deal Analyzer'!$B$10,-('Deal Analyzer'!$B$10+'Deal Analyzer'!$B$9*'Deal Analyzer'!$B$14))</f>
        <v/>
      </c>
      <c r="H381" s="2" t="n"/>
      <c r="I381" s="2" t="n"/>
      <c r="J381" s="2" t="n"/>
      <c r="K381" s="2" t="n"/>
    </row>
    <row r="382">
      <c r="A382" s="2" t="n">
        <v>371</v>
      </c>
      <c r="B382" s="12">
        <f>MAX(0,'Deal Analyzer'!$B$4*(1+NORM.INV(RAND(),0,$J$4)))</f>
        <v/>
      </c>
      <c r="C382" s="12">
        <f>'Deal Analyzer'!$B$5*MAX(0.9,1+NORM.INV(RAND(),$J$5,$J$6))</f>
        <v/>
      </c>
      <c r="D382" s="12">
        <f>'Deal Analyzer'!$B$24+C382+B382*'Deal Analyzer'!$B$11</f>
        <v/>
      </c>
      <c r="E382" s="15">
        <f>IF(B382=0,0,(B382-D382)/B382)</f>
        <v/>
      </c>
      <c r="F382" s="2">
        <f>E382&gt;='Deal Analyzer'!$B$12</f>
        <v/>
      </c>
      <c r="G382" s="12">
        <f>IF(AND(F382,RAND()&lt;$J$7),'Deal Analyzer'!$B$8-'Deal Analyzer'!$B$10,-('Deal Analyzer'!$B$10+'Deal Analyzer'!$B$9*'Deal Analyzer'!$B$14))</f>
        <v/>
      </c>
      <c r="H382" s="2" t="n"/>
      <c r="I382" s="2" t="n"/>
      <c r="J382" s="2" t="n"/>
      <c r="K382" s="2" t="n"/>
    </row>
    <row r="383">
      <c r="A383" s="2" t="n">
        <v>372</v>
      </c>
      <c r="B383" s="12">
        <f>MAX(0,'Deal Analyzer'!$B$4*(1+NORM.INV(RAND(),0,$J$4)))</f>
        <v/>
      </c>
      <c r="C383" s="12">
        <f>'Deal Analyzer'!$B$5*MAX(0.9,1+NORM.INV(RAND(),$J$5,$J$6))</f>
        <v/>
      </c>
      <c r="D383" s="12">
        <f>'Deal Analyzer'!$B$24+C383+B383*'Deal Analyzer'!$B$11</f>
        <v/>
      </c>
      <c r="E383" s="15">
        <f>IF(B383=0,0,(B383-D383)/B383)</f>
        <v/>
      </c>
      <c r="F383" s="2">
        <f>E383&gt;='Deal Analyzer'!$B$12</f>
        <v/>
      </c>
      <c r="G383" s="12">
        <f>IF(AND(F383,RAND()&lt;$J$7),'Deal Analyzer'!$B$8-'Deal Analyzer'!$B$10,-('Deal Analyzer'!$B$10+'Deal Analyzer'!$B$9*'Deal Analyzer'!$B$14))</f>
        <v/>
      </c>
      <c r="H383" s="2" t="n"/>
      <c r="I383" s="2" t="n"/>
      <c r="J383" s="2" t="n"/>
      <c r="K383" s="2" t="n"/>
    </row>
    <row r="384">
      <c r="A384" s="2" t="n">
        <v>373</v>
      </c>
      <c r="B384" s="12">
        <f>MAX(0,'Deal Analyzer'!$B$4*(1+NORM.INV(RAND(),0,$J$4)))</f>
        <v/>
      </c>
      <c r="C384" s="12">
        <f>'Deal Analyzer'!$B$5*MAX(0.9,1+NORM.INV(RAND(),$J$5,$J$6))</f>
        <v/>
      </c>
      <c r="D384" s="12">
        <f>'Deal Analyzer'!$B$24+C384+B384*'Deal Analyzer'!$B$11</f>
        <v/>
      </c>
      <c r="E384" s="15">
        <f>IF(B384=0,0,(B384-D384)/B384)</f>
        <v/>
      </c>
      <c r="F384" s="2">
        <f>E384&gt;='Deal Analyzer'!$B$12</f>
        <v/>
      </c>
      <c r="G384" s="12">
        <f>IF(AND(F384,RAND()&lt;$J$7),'Deal Analyzer'!$B$8-'Deal Analyzer'!$B$10,-('Deal Analyzer'!$B$10+'Deal Analyzer'!$B$9*'Deal Analyzer'!$B$14))</f>
        <v/>
      </c>
      <c r="H384" s="2" t="n"/>
      <c r="I384" s="2" t="n"/>
      <c r="J384" s="2" t="n"/>
      <c r="K384" s="2" t="n"/>
    </row>
    <row r="385">
      <c r="A385" s="2" t="n">
        <v>374</v>
      </c>
      <c r="B385" s="12">
        <f>MAX(0,'Deal Analyzer'!$B$4*(1+NORM.INV(RAND(),0,$J$4)))</f>
        <v/>
      </c>
      <c r="C385" s="12">
        <f>'Deal Analyzer'!$B$5*MAX(0.9,1+NORM.INV(RAND(),$J$5,$J$6))</f>
        <v/>
      </c>
      <c r="D385" s="12">
        <f>'Deal Analyzer'!$B$24+C385+B385*'Deal Analyzer'!$B$11</f>
        <v/>
      </c>
      <c r="E385" s="15">
        <f>IF(B385=0,0,(B385-D385)/B385)</f>
        <v/>
      </c>
      <c r="F385" s="2">
        <f>E385&gt;='Deal Analyzer'!$B$12</f>
        <v/>
      </c>
      <c r="G385" s="12">
        <f>IF(AND(F385,RAND()&lt;$J$7),'Deal Analyzer'!$B$8-'Deal Analyzer'!$B$10,-('Deal Analyzer'!$B$10+'Deal Analyzer'!$B$9*'Deal Analyzer'!$B$14))</f>
        <v/>
      </c>
      <c r="H385" s="2" t="n"/>
      <c r="I385" s="2" t="n"/>
      <c r="J385" s="2" t="n"/>
      <c r="K385" s="2" t="n"/>
    </row>
    <row r="386">
      <c r="A386" s="2" t="n">
        <v>375</v>
      </c>
      <c r="B386" s="12">
        <f>MAX(0,'Deal Analyzer'!$B$4*(1+NORM.INV(RAND(),0,$J$4)))</f>
        <v/>
      </c>
      <c r="C386" s="12">
        <f>'Deal Analyzer'!$B$5*MAX(0.9,1+NORM.INV(RAND(),$J$5,$J$6))</f>
        <v/>
      </c>
      <c r="D386" s="12">
        <f>'Deal Analyzer'!$B$24+C386+B386*'Deal Analyzer'!$B$11</f>
        <v/>
      </c>
      <c r="E386" s="15">
        <f>IF(B386=0,0,(B386-D386)/B386)</f>
        <v/>
      </c>
      <c r="F386" s="2">
        <f>E386&gt;='Deal Analyzer'!$B$12</f>
        <v/>
      </c>
      <c r="G386" s="12">
        <f>IF(AND(F386,RAND()&lt;$J$7),'Deal Analyzer'!$B$8-'Deal Analyzer'!$B$10,-('Deal Analyzer'!$B$10+'Deal Analyzer'!$B$9*'Deal Analyzer'!$B$14))</f>
        <v/>
      </c>
      <c r="H386" s="2" t="n"/>
      <c r="I386" s="2" t="n"/>
      <c r="J386" s="2" t="n"/>
      <c r="K386" s="2" t="n"/>
    </row>
    <row r="387">
      <c r="A387" s="2" t="n">
        <v>376</v>
      </c>
      <c r="B387" s="12">
        <f>MAX(0,'Deal Analyzer'!$B$4*(1+NORM.INV(RAND(),0,$J$4)))</f>
        <v/>
      </c>
      <c r="C387" s="12">
        <f>'Deal Analyzer'!$B$5*MAX(0.9,1+NORM.INV(RAND(),$J$5,$J$6))</f>
        <v/>
      </c>
      <c r="D387" s="12">
        <f>'Deal Analyzer'!$B$24+C387+B387*'Deal Analyzer'!$B$11</f>
        <v/>
      </c>
      <c r="E387" s="15">
        <f>IF(B387=0,0,(B387-D387)/B387)</f>
        <v/>
      </c>
      <c r="F387" s="2">
        <f>E387&gt;='Deal Analyzer'!$B$12</f>
        <v/>
      </c>
      <c r="G387" s="12">
        <f>IF(AND(F387,RAND()&lt;$J$7),'Deal Analyzer'!$B$8-'Deal Analyzer'!$B$10,-('Deal Analyzer'!$B$10+'Deal Analyzer'!$B$9*'Deal Analyzer'!$B$14))</f>
        <v/>
      </c>
      <c r="H387" s="2" t="n"/>
      <c r="I387" s="2" t="n"/>
      <c r="J387" s="2" t="n"/>
      <c r="K387" s="2" t="n"/>
    </row>
    <row r="388">
      <c r="A388" s="2" t="n">
        <v>377</v>
      </c>
      <c r="B388" s="12">
        <f>MAX(0,'Deal Analyzer'!$B$4*(1+NORM.INV(RAND(),0,$J$4)))</f>
        <v/>
      </c>
      <c r="C388" s="12">
        <f>'Deal Analyzer'!$B$5*MAX(0.9,1+NORM.INV(RAND(),$J$5,$J$6))</f>
        <v/>
      </c>
      <c r="D388" s="12">
        <f>'Deal Analyzer'!$B$24+C388+B388*'Deal Analyzer'!$B$11</f>
        <v/>
      </c>
      <c r="E388" s="15">
        <f>IF(B388=0,0,(B388-D388)/B388)</f>
        <v/>
      </c>
      <c r="F388" s="2">
        <f>E388&gt;='Deal Analyzer'!$B$12</f>
        <v/>
      </c>
      <c r="G388" s="12">
        <f>IF(AND(F388,RAND()&lt;$J$7),'Deal Analyzer'!$B$8-'Deal Analyzer'!$B$10,-('Deal Analyzer'!$B$10+'Deal Analyzer'!$B$9*'Deal Analyzer'!$B$14))</f>
        <v/>
      </c>
      <c r="H388" s="2" t="n"/>
      <c r="I388" s="2" t="n"/>
      <c r="J388" s="2" t="n"/>
      <c r="K388" s="2" t="n"/>
    </row>
    <row r="389">
      <c r="A389" s="2" t="n">
        <v>378</v>
      </c>
      <c r="B389" s="12">
        <f>MAX(0,'Deal Analyzer'!$B$4*(1+NORM.INV(RAND(),0,$J$4)))</f>
        <v/>
      </c>
      <c r="C389" s="12">
        <f>'Deal Analyzer'!$B$5*MAX(0.9,1+NORM.INV(RAND(),$J$5,$J$6))</f>
        <v/>
      </c>
      <c r="D389" s="12">
        <f>'Deal Analyzer'!$B$24+C389+B389*'Deal Analyzer'!$B$11</f>
        <v/>
      </c>
      <c r="E389" s="15">
        <f>IF(B389=0,0,(B389-D389)/B389)</f>
        <v/>
      </c>
      <c r="F389" s="2">
        <f>E389&gt;='Deal Analyzer'!$B$12</f>
        <v/>
      </c>
      <c r="G389" s="12">
        <f>IF(AND(F389,RAND()&lt;$J$7),'Deal Analyzer'!$B$8-'Deal Analyzer'!$B$10,-('Deal Analyzer'!$B$10+'Deal Analyzer'!$B$9*'Deal Analyzer'!$B$14))</f>
        <v/>
      </c>
      <c r="H389" s="2" t="n"/>
      <c r="I389" s="2" t="n"/>
      <c r="J389" s="2" t="n"/>
      <c r="K389" s="2" t="n"/>
    </row>
    <row r="390">
      <c r="A390" s="2" t="n">
        <v>379</v>
      </c>
      <c r="B390" s="12">
        <f>MAX(0,'Deal Analyzer'!$B$4*(1+NORM.INV(RAND(),0,$J$4)))</f>
        <v/>
      </c>
      <c r="C390" s="12">
        <f>'Deal Analyzer'!$B$5*MAX(0.9,1+NORM.INV(RAND(),$J$5,$J$6))</f>
        <v/>
      </c>
      <c r="D390" s="12">
        <f>'Deal Analyzer'!$B$24+C390+B390*'Deal Analyzer'!$B$11</f>
        <v/>
      </c>
      <c r="E390" s="15">
        <f>IF(B390=0,0,(B390-D390)/B390)</f>
        <v/>
      </c>
      <c r="F390" s="2">
        <f>E390&gt;='Deal Analyzer'!$B$12</f>
        <v/>
      </c>
      <c r="G390" s="12">
        <f>IF(AND(F390,RAND()&lt;$J$7),'Deal Analyzer'!$B$8-'Deal Analyzer'!$B$10,-('Deal Analyzer'!$B$10+'Deal Analyzer'!$B$9*'Deal Analyzer'!$B$14))</f>
        <v/>
      </c>
      <c r="H390" s="2" t="n"/>
      <c r="I390" s="2" t="n"/>
      <c r="J390" s="2" t="n"/>
      <c r="K390" s="2" t="n"/>
    </row>
    <row r="391">
      <c r="A391" s="2" t="n">
        <v>380</v>
      </c>
      <c r="B391" s="12">
        <f>MAX(0,'Deal Analyzer'!$B$4*(1+NORM.INV(RAND(),0,$J$4)))</f>
        <v/>
      </c>
      <c r="C391" s="12">
        <f>'Deal Analyzer'!$B$5*MAX(0.9,1+NORM.INV(RAND(),$J$5,$J$6))</f>
        <v/>
      </c>
      <c r="D391" s="12">
        <f>'Deal Analyzer'!$B$24+C391+B391*'Deal Analyzer'!$B$11</f>
        <v/>
      </c>
      <c r="E391" s="15">
        <f>IF(B391=0,0,(B391-D391)/B391)</f>
        <v/>
      </c>
      <c r="F391" s="2">
        <f>E391&gt;='Deal Analyzer'!$B$12</f>
        <v/>
      </c>
      <c r="G391" s="12">
        <f>IF(AND(F391,RAND()&lt;$J$7),'Deal Analyzer'!$B$8-'Deal Analyzer'!$B$10,-('Deal Analyzer'!$B$10+'Deal Analyzer'!$B$9*'Deal Analyzer'!$B$14))</f>
        <v/>
      </c>
      <c r="H391" s="2" t="n"/>
      <c r="I391" s="2" t="n"/>
      <c r="J391" s="2" t="n"/>
      <c r="K391" s="2" t="n"/>
    </row>
    <row r="392">
      <c r="A392" s="2" t="n">
        <v>381</v>
      </c>
      <c r="B392" s="12">
        <f>MAX(0,'Deal Analyzer'!$B$4*(1+NORM.INV(RAND(),0,$J$4)))</f>
        <v/>
      </c>
      <c r="C392" s="12">
        <f>'Deal Analyzer'!$B$5*MAX(0.9,1+NORM.INV(RAND(),$J$5,$J$6))</f>
        <v/>
      </c>
      <c r="D392" s="12">
        <f>'Deal Analyzer'!$B$24+C392+B392*'Deal Analyzer'!$B$11</f>
        <v/>
      </c>
      <c r="E392" s="15">
        <f>IF(B392=0,0,(B392-D392)/B392)</f>
        <v/>
      </c>
      <c r="F392" s="2">
        <f>E392&gt;='Deal Analyzer'!$B$12</f>
        <v/>
      </c>
      <c r="G392" s="12">
        <f>IF(AND(F392,RAND()&lt;$J$7),'Deal Analyzer'!$B$8-'Deal Analyzer'!$B$10,-('Deal Analyzer'!$B$10+'Deal Analyzer'!$B$9*'Deal Analyzer'!$B$14))</f>
        <v/>
      </c>
      <c r="H392" s="2" t="n"/>
      <c r="I392" s="2" t="n"/>
      <c r="J392" s="2" t="n"/>
      <c r="K392" s="2" t="n"/>
    </row>
    <row r="393">
      <c r="A393" s="2" t="n">
        <v>382</v>
      </c>
      <c r="B393" s="12">
        <f>MAX(0,'Deal Analyzer'!$B$4*(1+NORM.INV(RAND(),0,$J$4)))</f>
        <v/>
      </c>
      <c r="C393" s="12">
        <f>'Deal Analyzer'!$B$5*MAX(0.9,1+NORM.INV(RAND(),$J$5,$J$6))</f>
        <v/>
      </c>
      <c r="D393" s="12">
        <f>'Deal Analyzer'!$B$24+C393+B393*'Deal Analyzer'!$B$11</f>
        <v/>
      </c>
      <c r="E393" s="15">
        <f>IF(B393=0,0,(B393-D393)/B393)</f>
        <v/>
      </c>
      <c r="F393" s="2">
        <f>E393&gt;='Deal Analyzer'!$B$12</f>
        <v/>
      </c>
      <c r="G393" s="12">
        <f>IF(AND(F393,RAND()&lt;$J$7),'Deal Analyzer'!$B$8-'Deal Analyzer'!$B$10,-('Deal Analyzer'!$B$10+'Deal Analyzer'!$B$9*'Deal Analyzer'!$B$14))</f>
        <v/>
      </c>
      <c r="H393" s="2" t="n"/>
      <c r="I393" s="2" t="n"/>
      <c r="J393" s="2" t="n"/>
      <c r="K393" s="2" t="n"/>
    </row>
    <row r="394">
      <c r="A394" s="2" t="n">
        <v>383</v>
      </c>
      <c r="B394" s="12">
        <f>MAX(0,'Deal Analyzer'!$B$4*(1+NORM.INV(RAND(),0,$J$4)))</f>
        <v/>
      </c>
      <c r="C394" s="12">
        <f>'Deal Analyzer'!$B$5*MAX(0.9,1+NORM.INV(RAND(),$J$5,$J$6))</f>
        <v/>
      </c>
      <c r="D394" s="12">
        <f>'Deal Analyzer'!$B$24+C394+B394*'Deal Analyzer'!$B$11</f>
        <v/>
      </c>
      <c r="E394" s="15">
        <f>IF(B394=0,0,(B394-D394)/B394)</f>
        <v/>
      </c>
      <c r="F394" s="2">
        <f>E394&gt;='Deal Analyzer'!$B$12</f>
        <v/>
      </c>
      <c r="G394" s="12">
        <f>IF(AND(F394,RAND()&lt;$J$7),'Deal Analyzer'!$B$8-'Deal Analyzer'!$B$10,-('Deal Analyzer'!$B$10+'Deal Analyzer'!$B$9*'Deal Analyzer'!$B$14))</f>
        <v/>
      </c>
      <c r="H394" s="2" t="n"/>
      <c r="I394" s="2" t="n"/>
      <c r="J394" s="2" t="n"/>
      <c r="K394" s="2" t="n"/>
    </row>
    <row r="395">
      <c r="A395" s="2" t="n">
        <v>384</v>
      </c>
      <c r="B395" s="12">
        <f>MAX(0,'Deal Analyzer'!$B$4*(1+NORM.INV(RAND(),0,$J$4)))</f>
        <v/>
      </c>
      <c r="C395" s="12">
        <f>'Deal Analyzer'!$B$5*MAX(0.9,1+NORM.INV(RAND(),$J$5,$J$6))</f>
        <v/>
      </c>
      <c r="D395" s="12">
        <f>'Deal Analyzer'!$B$24+C395+B395*'Deal Analyzer'!$B$11</f>
        <v/>
      </c>
      <c r="E395" s="15">
        <f>IF(B395=0,0,(B395-D395)/B395)</f>
        <v/>
      </c>
      <c r="F395" s="2">
        <f>E395&gt;='Deal Analyzer'!$B$12</f>
        <v/>
      </c>
      <c r="G395" s="12">
        <f>IF(AND(F395,RAND()&lt;$J$7),'Deal Analyzer'!$B$8-'Deal Analyzer'!$B$10,-('Deal Analyzer'!$B$10+'Deal Analyzer'!$B$9*'Deal Analyzer'!$B$14))</f>
        <v/>
      </c>
      <c r="H395" s="2" t="n"/>
      <c r="I395" s="2" t="n"/>
      <c r="J395" s="2" t="n"/>
      <c r="K395" s="2" t="n"/>
    </row>
    <row r="396">
      <c r="A396" s="2" t="n">
        <v>385</v>
      </c>
      <c r="B396" s="12">
        <f>MAX(0,'Deal Analyzer'!$B$4*(1+NORM.INV(RAND(),0,$J$4)))</f>
        <v/>
      </c>
      <c r="C396" s="12">
        <f>'Deal Analyzer'!$B$5*MAX(0.9,1+NORM.INV(RAND(),$J$5,$J$6))</f>
        <v/>
      </c>
      <c r="D396" s="12">
        <f>'Deal Analyzer'!$B$24+C396+B396*'Deal Analyzer'!$B$11</f>
        <v/>
      </c>
      <c r="E396" s="15">
        <f>IF(B396=0,0,(B396-D396)/B396)</f>
        <v/>
      </c>
      <c r="F396" s="2">
        <f>E396&gt;='Deal Analyzer'!$B$12</f>
        <v/>
      </c>
      <c r="G396" s="12">
        <f>IF(AND(F396,RAND()&lt;$J$7),'Deal Analyzer'!$B$8-'Deal Analyzer'!$B$10,-('Deal Analyzer'!$B$10+'Deal Analyzer'!$B$9*'Deal Analyzer'!$B$14))</f>
        <v/>
      </c>
      <c r="H396" s="2" t="n"/>
      <c r="I396" s="2" t="n"/>
      <c r="J396" s="2" t="n"/>
      <c r="K396" s="2" t="n"/>
    </row>
    <row r="397">
      <c r="A397" s="2" t="n">
        <v>386</v>
      </c>
      <c r="B397" s="12">
        <f>MAX(0,'Deal Analyzer'!$B$4*(1+NORM.INV(RAND(),0,$J$4)))</f>
        <v/>
      </c>
      <c r="C397" s="12">
        <f>'Deal Analyzer'!$B$5*MAX(0.9,1+NORM.INV(RAND(),$J$5,$J$6))</f>
        <v/>
      </c>
      <c r="D397" s="12">
        <f>'Deal Analyzer'!$B$24+C397+B397*'Deal Analyzer'!$B$11</f>
        <v/>
      </c>
      <c r="E397" s="15">
        <f>IF(B397=0,0,(B397-D397)/B397)</f>
        <v/>
      </c>
      <c r="F397" s="2">
        <f>E397&gt;='Deal Analyzer'!$B$12</f>
        <v/>
      </c>
      <c r="G397" s="12">
        <f>IF(AND(F397,RAND()&lt;$J$7),'Deal Analyzer'!$B$8-'Deal Analyzer'!$B$10,-('Deal Analyzer'!$B$10+'Deal Analyzer'!$B$9*'Deal Analyzer'!$B$14))</f>
        <v/>
      </c>
      <c r="H397" s="2" t="n"/>
      <c r="I397" s="2" t="n"/>
      <c r="J397" s="2" t="n"/>
      <c r="K397" s="2" t="n"/>
    </row>
    <row r="398">
      <c r="A398" s="2" t="n">
        <v>387</v>
      </c>
      <c r="B398" s="12">
        <f>MAX(0,'Deal Analyzer'!$B$4*(1+NORM.INV(RAND(),0,$J$4)))</f>
        <v/>
      </c>
      <c r="C398" s="12">
        <f>'Deal Analyzer'!$B$5*MAX(0.9,1+NORM.INV(RAND(),$J$5,$J$6))</f>
        <v/>
      </c>
      <c r="D398" s="12">
        <f>'Deal Analyzer'!$B$24+C398+B398*'Deal Analyzer'!$B$11</f>
        <v/>
      </c>
      <c r="E398" s="15">
        <f>IF(B398=0,0,(B398-D398)/B398)</f>
        <v/>
      </c>
      <c r="F398" s="2">
        <f>E398&gt;='Deal Analyzer'!$B$12</f>
        <v/>
      </c>
      <c r="G398" s="12">
        <f>IF(AND(F398,RAND()&lt;$J$7),'Deal Analyzer'!$B$8-'Deal Analyzer'!$B$10,-('Deal Analyzer'!$B$10+'Deal Analyzer'!$B$9*'Deal Analyzer'!$B$14))</f>
        <v/>
      </c>
      <c r="H398" s="2" t="n"/>
      <c r="I398" s="2" t="n"/>
      <c r="J398" s="2" t="n"/>
      <c r="K398" s="2" t="n"/>
    </row>
    <row r="399">
      <c r="A399" s="2" t="n">
        <v>388</v>
      </c>
      <c r="B399" s="12">
        <f>MAX(0,'Deal Analyzer'!$B$4*(1+NORM.INV(RAND(),0,$J$4)))</f>
        <v/>
      </c>
      <c r="C399" s="12">
        <f>'Deal Analyzer'!$B$5*MAX(0.9,1+NORM.INV(RAND(),$J$5,$J$6))</f>
        <v/>
      </c>
      <c r="D399" s="12">
        <f>'Deal Analyzer'!$B$24+C399+B399*'Deal Analyzer'!$B$11</f>
        <v/>
      </c>
      <c r="E399" s="15">
        <f>IF(B399=0,0,(B399-D399)/B399)</f>
        <v/>
      </c>
      <c r="F399" s="2">
        <f>E399&gt;='Deal Analyzer'!$B$12</f>
        <v/>
      </c>
      <c r="G399" s="12">
        <f>IF(AND(F399,RAND()&lt;$J$7),'Deal Analyzer'!$B$8-'Deal Analyzer'!$B$10,-('Deal Analyzer'!$B$10+'Deal Analyzer'!$B$9*'Deal Analyzer'!$B$14))</f>
        <v/>
      </c>
      <c r="H399" s="2" t="n"/>
      <c r="I399" s="2" t="n"/>
      <c r="J399" s="2" t="n"/>
      <c r="K399" s="2" t="n"/>
    </row>
    <row r="400">
      <c r="A400" s="2" t="n">
        <v>389</v>
      </c>
      <c r="B400" s="12">
        <f>MAX(0,'Deal Analyzer'!$B$4*(1+NORM.INV(RAND(),0,$J$4)))</f>
        <v/>
      </c>
      <c r="C400" s="12">
        <f>'Deal Analyzer'!$B$5*MAX(0.9,1+NORM.INV(RAND(),$J$5,$J$6))</f>
        <v/>
      </c>
      <c r="D400" s="12">
        <f>'Deal Analyzer'!$B$24+C400+B400*'Deal Analyzer'!$B$11</f>
        <v/>
      </c>
      <c r="E400" s="15">
        <f>IF(B400=0,0,(B400-D400)/B400)</f>
        <v/>
      </c>
      <c r="F400" s="2">
        <f>E400&gt;='Deal Analyzer'!$B$12</f>
        <v/>
      </c>
      <c r="G400" s="12">
        <f>IF(AND(F400,RAND()&lt;$J$7),'Deal Analyzer'!$B$8-'Deal Analyzer'!$B$10,-('Deal Analyzer'!$B$10+'Deal Analyzer'!$B$9*'Deal Analyzer'!$B$14))</f>
        <v/>
      </c>
      <c r="H400" s="2" t="n"/>
      <c r="I400" s="2" t="n"/>
      <c r="J400" s="2" t="n"/>
      <c r="K400" s="2" t="n"/>
    </row>
    <row r="401">
      <c r="A401" s="2" t="n">
        <v>390</v>
      </c>
      <c r="B401" s="12">
        <f>MAX(0,'Deal Analyzer'!$B$4*(1+NORM.INV(RAND(),0,$J$4)))</f>
        <v/>
      </c>
      <c r="C401" s="12">
        <f>'Deal Analyzer'!$B$5*MAX(0.9,1+NORM.INV(RAND(),$J$5,$J$6))</f>
        <v/>
      </c>
      <c r="D401" s="12">
        <f>'Deal Analyzer'!$B$24+C401+B401*'Deal Analyzer'!$B$11</f>
        <v/>
      </c>
      <c r="E401" s="15">
        <f>IF(B401=0,0,(B401-D401)/B401)</f>
        <v/>
      </c>
      <c r="F401" s="2">
        <f>E401&gt;='Deal Analyzer'!$B$12</f>
        <v/>
      </c>
      <c r="G401" s="12">
        <f>IF(AND(F401,RAND()&lt;$J$7),'Deal Analyzer'!$B$8-'Deal Analyzer'!$B$10,-('Deal Analyzer'!$B$10+'Deal Analyzer'!$B$9*'Deal Analyzer'!$B$14))</f>
        <v/>
      </c>
      <c r="H401" s="2" t="n"/>
      <c r="I401" s="2" t="n"/>
      <c r="J401" s="2" t="n"/>
      <c r="K401" s="2" t="n"/>
    </row>
    <row r="402">
      <c r="A402" s="2" t="n">
        <v>391</v>
      </c>
      <c r="B402" s="12">
        <f>MAX(0,'Deal Analyzer'!$B$4*(1+NORM.INV(RAND(),0,$J$4)))</f>
        <v/>
      </c>
      <c r="C402" s="12">
        <f>'Deal Analyzer'!$B$5*MAX(0.9,1+NORM.INV(RAND(),$J$5,$J$6))</f>
        <v/>
      </c>
      <c r="D402" s="12">
        <f>'Deal Analyzer'!$B$24+C402+B402*'Deal Analyzer'!$B$11</f>
        <v/>
      </c>
      <c r="E402" s="15">
        <f>IF(B402=0,0,(B402-D402)/B402)</f>
        <v/>
      </c>
      <c r="F402" s="2">
        <f>E402&gt;='Deal Analyzer'!$B$12</f>
        <v/>
      </c>
      <c r="G402" s="12">
        <f>IF(AND(F402,RAND()&lt;$J$7),'Deal Analyzer'!$B$8-'Deal Analyzer'!$B$10,-('Deal Analyzer'!$B$10+'Deal Analyzer'!$B$9*'Deal Analyzer'!$B$14))</f>
        <v/>
      </c>
      <c r="H402" s="2" t="n"/>
      <c r="I402" s="2" t="n"/>
      <c r="J402" s="2" t="n"/>
      <c r="K402" s="2" t="n"/>
    </row>
    <row r="403">
      <c r="A403" s="2" t="n">
        <v>392</v>
      </c>
      <c r="B403" s="12">
        <f>MAX(0,'Deal Analyzer'!$B$4*(1+NORM.INV(RAND(),0,$J$4)))</f>
        <v/>
      </c>
      <c r="C403" s="12">
        <f>'Deal Analyzer'!$B$5*MAX(0.9,1+NORM.INV(RAND(),$J$5,$J$6))</f>
        <v/>
      </c>
      <c r="D403" s="12">
        <f>'Deal Analyzer'!$B$24+C403+B403*'Deal Analyzer'!$B$11</f>
        <v/>
      </c>
      <c r="E403" s="15">
        <f>IF(B403=0,0,(B403-D403)/B403)</f>
        <v/>
      </c>
      <c r="F403" s="2">
        <f>E403&gt;='Deal Analyzer'!$B$12</f>
        <v/>
      </c>
      <c r="G403" s="12">
        <f>IF(AND(F403,RAND()&lt;$J$7),'Deal Analyzer'!$B$8-'Deal Analyzer'!$B$10,-('Deal Analyzer'!$B$10+'Deal Analyzer'!$B$9*'Deal Analyzer'!$B$14))</f>
        <v/>
      </c>
      <c r="H403" s="2" t="n"/>
      <c r="I403" s="2" t="n"/>
      <c r="J403" s="2" t="n"/>
      <c r="K403" s="2" t="n"/>
    </row>
    <row r="404">
      <c r="A404" s="2" t="n">
        <v>393</v>
      </c>
      <c r="B404" s="12">
        <f>MAX(0,'Deal Analyzer'!$B$4*(1+NORM.INV(RAND(),0,$J$4)))</f>
        <v/>
      </c>
      <c r="C404" s="12">
        <f>'Deal Analyzer'!$B$5*MAX(0.9,1+NORM.INV(RAND(),$J$5,$J$6))</f>
        <v/>
      </c>
      <c r="D404" s="12">
        <f>'Deal Analyzer'!$B$24+C404+B404*'Deal Analyzer'!$B$11</f>
        <v/>
      </c>
      <c r="E404" s="15">
        <f>IF(B404=0,0,(B404-D404)/B404)</f>
        <v/>
      </c>
      <c r="F404" s="2">
        <f>E404&gt;='Deal Analyzer'!$B$12</f>
        <v/>
      </c>
      <c r="G404" s="12">
        <f>IF(AND(F404,RAND()&lt;$J$7),'Deal Analyzer'!$B$8-'Deal Analyzer'!$B$10,-('Deal Analyzer'!$B$10+'Deal Analyzer'!$B$9*'Deal Analyzer'!$B$14))</f>
        <v/>
      </c>
      <c r="H404" s="2" t="n"/>
      <c r="I404" s="2" t="n"/>
      <c r="J404" s="2" t="n"/>
      <c r="K404" s="2" t="n"/>
    </row>
    <row r="405">
      <c r="A405" s="2" t="n">
        <v>394</v>
      </c>
      <c r="B405" s="12">
        <f>MAX(0,'Deal Analyzer'!$B$4*(1+NORM.INV(RAND(),0,$J$4)))</f>
        <v/>
      </c>
      <c r="C405" s="12">
        <f>'Deal Analyzer'!$B$5*MAX(0.9,1+NORM.INV(RAND(),$J$5,$J$6))</f>
        <v/>
      </c>
      <c r="D405" s="12">
        <f>'Deal Analyzer'!$B$24+C405+B405*'Deal Analyzer'!$B$11</f>
        <v/>
      </c>
      <c r="E405" s="15">
        <f>IF(B405=0,0,(B405-D405)/B405)</f>
        <v/>
      </c>
      <c r="F405" s="2">
        <f>E405&gt;='Deal Analyzer'!$B$12</f>
        <v/>
      </c>
      <c r="G405" s="12">
        <f>IF(AND(F405,RAND()&lt;$J$7),'Deal Analyzer'!$B$8-'Deal Analyzer'!$B$10,-('Deal Analyzer'!$B$10+'Deal Analyzer'!$B$9*'Deal Analyzer'!$B$14))</f>
        <v/>
      </c>
      <c r="H405" s="2" t="n"/>
      <c r="I405" s="2" t="n"/>
      <c r="J405" s="2" t="n"/>
      <c r="K405" s="2" t="n"/>
    </row>
    <row r="406">
      <c r="A406" s="2" t="n">
        <v>395</v>
      </c>
      <c r="B406" s="12">
        <f>MAX(0,'Deal Analyzer'!$B$4*(1+NORM.INV(RAND(),0,$J$4)))</f>
        <v/>
      </c>
      <c r="C406" s="12">
        <f>'Deal Analyzer'!$B$5*MAX(0.9,1+NORM.INV(RAND(),$J$5,$J$6))</f>
        <v/>
      </c>
      <c r="D406" s="12">
        <f>'Deal Analyzer'!$B$24+C406+B406*'Deal Analyzer'!$B$11</f>
        <v/>
      </c>
      <c r="E406" s="15">
        <f>IF(B406=0,0,(B406-D406)/B406)</f>
        <v/>
      </c>
      <c r="F406" s="2">
        <f>E406&gt;='Deal Analyzer'!$B$12</f>
        <v/>
      </c>
      <c r="G406" s="12">
        <f>IF(AND(F406,RAND()&lt;$J$7),'Deal Analyzer'!$B$8-'Deal Analyzer'!$B$10,-('Deal Analyzer'!$B$10+'Deal Analyzer'!$B$9*'Deal Analyzer'!$B$14))</f>
        <v/>
      </c>
      <c r="H406" s="2" t="n"/>
      <c r="I406" s="2" t="n"/>
      <c r="J406" s="2" t="n"/>
      <c r="K406" s="2" t="n"/>
    </row>
    <row r="407">
      <c r="A407" s="2" t="n">
        <v>396</v>
      </c>
      <c r="B407" s="12">
        <f>MAX(0,'Deal Analyzer'!$B$4*(1+NORM.INV(RAND(),0,$J$4)))</f>
        <v/>
      </c>
      <c r="C407" s="12">
        <f>'Deal Analyzer'!$B$5*MAX(0.9,1+NORM.INV(RAND(),$J$5,$J$6))</f>
        <v/>
      </c>
      <c r="D407" s="12">
        <f>'Deal Analyzer'!$B$24+C407+B407*'Deal Analyzer'!$B$11</f>
        <v/>
      </c>
      <c r="E407" s="15">
        <f>IF(B407=0,0,(B407-D407)/B407)</f>
        <v/>
      </c>
      <c r="F407" s="2">
        <f>E407&gt;='Deal Analyzer'!$B$12</f>
        <v/>
      </c>
      <c r="G407" s="12">
        <f>IF(AND(F407,RAND()&lt;$J$7),'Deal Analyzer'!$B$8-'Deal Analyzer'!$B$10,-('Deal Analyzer'!$B$10+'Deal Analyzer'!$B$9*'Deal Analyzer'!$B$14))</f>
        <v/>
      </c>
      <c r="H407" s="2" t="n"/>
      <c r="I407" s="2" t="n"/>
      <c r="J407" s="2" t="n"/>
      <c r="K407" s="2" t="n"/>
    </row>
    <row r="408">
      <c r="A408" s="2" t="n">
        <v>397</v>
      </c>
      <c r="B408" s="12">
        <f>MAX(0,'Deal Analyzer'!$B$4*(1+NORM.INV(RAND(),0,$J$4)))</f>
        <v/>
      </c>
      <c r="C408" s="12">
        <f>'Deal Analyzer'!$B$5*MAX(0.9,1+NORM.INV(RAND(),$J$5,$J$6))</f>
        <v/>
      </c>
      <c r="D408" s="12">
        <f>'Deal Analyzer'!$B$24+C408+B408*'Deal Analyzer'!$B$11</f>
        <v/>
      </c>
      <c r="E408" s="15">
        <f>IF(B408=0,0,(B408-D408)/B408)</f>
        <v/>
      </c>
      <c r="F408" s="2">
        <f>E408&gt;='Deal Analyzer'!$B$12</f>
        <v/>
      </c>
      <c r="G408" s="12">
        <f>IF(AND(F408,RAND()&lt;$J$7),'Deal Analyzer'!$B$8-'Deal Analyzer'!$B$10,-('Deal Analyzer'!$B$10+'Deal Analyzer'!$B$9*'Deal Analyzer'!$B$14))</f>
        <v/>
      </c>
      <c r="H408" s="2" t="n"/>
      <c r="I408" s="2" t="n"/>
      <c r="J408" s="2" t="n"/>
      <c r="K408" s="2" t="n"/>
    </row>
    <row r="409">
      <c r="A409" s="2" t="n">
        <v>398</v>
      </c>
      <c r="B409" s="12">
        <f>MAX(0,'Deal Analyzer'!$B$4*(1+NORM.INV(RAND(),0,$J$4)))</f>
        <v/>
      </c>
      <c r="C409" s="12">
        <f>'Deal Analyzer'!$B$5*MAX(0.9,1+NORM.INV(RAND(),$J$5,$J$6))</f>
        <v/>
      </c>
      <c r="D409" s="12">
        <f>'Deal Analyzer'!$B$24+C409+B409*'Deal Analyzer'!$B$11</f>
        <v/>
      </c>
      <c r="E409" s="15">
        <f>IF(B409=0,0,(B409-D409)/B409)</f>
        <v/>
      </c>
      <c r="F409" s="2">
        <f>E409&gt;='Deal Analyzer'!$B$12</f>
        <v/>
      </c>
      <c r="G409" s="12">
        <f>IF(AND(F409,RAND()&lt;$J$7),'Deal Analyzer'!$B$8-'Deal Analyzer'!$B$10,-('Deal Analyzer'!$B$10+'Deal Analyzer'!$B$9*'Deal Analyzer'!$B$14))</f>
        <v/>
      </c>
      <c r="H409" s="2" t="n"/>
      <c r="I409" s="2" t="n"/>
      <c r="J409" s="2" t="n"/>
      <c r="K409" s="2" t="n"/>
    </row>
    <row r="410">
      <c r="A410" s="2" t="n">
        <v>399</v>
      </c>
      <c r="B410" s="12">
        <f>MAX(0,'Deal Analyzer'!$B$4*(1+NORM.INV(RAND(),0,$J$4)))</f>
        <v/>
      </c>
      <c r="C410" s="12">
        <f>'Deal Analyzer'!$B$5*MAX(0.9,1+NORM.INV(RAND(),$J$5,$J$6))</f>
        <v/>
      </c>
      <c r="D410" s="12">
        <f>'Deal Analyzer'!$B$24+C410+B410*'Deal Analyzer'!$B$11</f>
        <v/>
      </c>
      <c r="E410" s="15">
        <f>IF(B410=0,0,(B410-D410)/B410)</f>
        <v/>
      </c>
      <c r="F410" s="2">
        <f>E410&gt;='Deal Analyzer'!$B$12</f>
        <v/>
      </c>
      <c r="G410" s="12">
        <f>IF(AND(F410,RAND()&lt;$J$7),'Deal Analyzer'!$B$8-'Deal Analyzer'!$B$10,-('Deal Analyzer'!$B$10+'Deal Analyzer'!$B$9*'Deal Analyzer'!$B$14))</f>
        <v/>
      </c>
      <c r="H410" s="2" t="n"/>
      <c r="I410" s="2" t="n"/>
      <c r="J410" s="2" t="n"/>
      <c r="K410" s="2" t="n"/>
    </row>
    <row r="411">
      <c r="A411" s="2" t="n">
        <v>400</v>
      </c>
      <c r="B411" s="12">
        <f>MAX(0,'Deal Analyzer'!$B$4*(1+NORM.INV(RAND(),0,$J$4)))</f>
        <v/>
      </c>
      <c r="C411" s="12">
        <f>'Deal Analyzer'!$B$5*MAX(0.9,1+NORM.INV(RAND(),$J$5,$J$6))</f>
        <v/>
      </c>
      <c r="D411" s="12">
        <f>'Deal Analyzer'!$B$24+C411+B411*'Deal Analyzer'!$B$11</f>
        <v/>
      </c>
      <c r="E411" s="15">
        <f>IF(B411=0,0,(B411-D411)/B411)</f>
        <v/>
      </c>
      <c r="F411" s="2">
        <f>E411&gt;='Deal Analyzer'!$B$12</f>
        <v/>
      </c>
      <c r="G411" s="12">
        <f>IF(AND(F411,RAND()&lt;$J$7),'Deal Analyzer'!$B$8-'Deal Analyzer'!$B$10,-('Deal Analyzer'!$B$10+'Deal Analyzer'!$B$9*'Deal Analyzer'!$B$14))</f>
        <v/>
      </c>
      <c r="H411" s="2" t="n"/>
      <c r="I411" s="2" t="n"/>
      <c r="J411" s="2" t="n"/>
      <c r="K411" s="2" t="n"/>
    </row>
    <row r="412">
      <c r="A412" s="2" t="n">
        <v>401</v>
      </c>
      <c r="B412" s="12">
        <f>MAX(0,'Deal Analyzer'!$B$4*(1+NORM.INV(RAND(),0,$J$4)))</f>
        <v/>
      </c>
      <c r="C412" s="12">
        <f>'Deal Analyzer'!$B$5*MAX(0.9,1+NORM.INV(RAND(),$J$5,$J$6))</f>
        <v/>
      </c>
      <c r="D412" s="12">
        <f>'Deal Analyzer'!$B$24+C412+B412*'Deal Analyzer'!$B$11</f>
        <v/>
      </c>
      <c r="E412" s="15">
        <f>IF(B412=0,0,(B412-D412)/B412)</f>
        <v/>
      </c>
      <c r="F412" s="2">
        <f>E412&gt;='Deal Analyzer'!$B$12</f>
        <v/>
      </c>
      <c r="G412" s="12">
        <f>IF(AND(F412,RAND()&lt;$J$7),'Deal Analyzer'!$B$8-'Deal Analyzer'!$B$10,-('Deal Analyzer'!$B$10+'Deal Analyzer'!$B$9*'Deal Analyzer'!$B$14))</f>
        <v/>
      </c>
      <c r="H412" s="2" t="n"/>
      <c r="I412" s="2" t="n"/>
      <c r="J412" s="2" t="n"/>
      <c r="K412" s="2" t="n"/>
    </row>
    <row r="413">
      <c r="A413" s="2" t="n">
        <v>402</v>
      </c>
      <c r="B413" s="12">
        <f>MAX(0,'Deal Analyzer'!$B$4*(1+NORM.INV(RAND(),0,$J$4)))</f>
        <v/>
      </c>
      <c r="C413" s="12">
        <f>'Deal Analyzer'!$B$5*MAX(0.9,1+NORM.INV(RAND(),$J$5,$J$6))</f>
        <v/>
      </c>
      <c r="D413" s="12">
        <f>'Deal Analyzer'!$B$24+C413+B413*'Deal Analyzer'!$B$11</f>
        <v/>
      </c>
      <c r="E413" s="15">
        <f>IF(B413=0,0,(B413-D413)/B413)</f>
        <v/>
      </c>
      <c r="F413" s="2">
        <f>E413&gt;='Deal Analyzer'!$B$12</f>
        <v/>
      </c>
      <c r="G413" s="12">
        <f>IF(AND(F413,RAND()&lt;$J$7),'Deal Analyzer'!$B$8-'Deal Analyzer'!$B$10,-('Deal Analyzer'!$B$10+'Deal Analyzer'!$B$9*'Deal Analyzer'!$B$14))</f>
        <v/>
      </c>
      <c r="H413" s="2" t="n"/>
      <c r="I413" s="2" t="n"/>
      <c r="J413" s="2" t="n"/>
      <c r="K413" s="2" t="n"/>
    </row>
    <row r="414">
      <c r="A414" s="2" t="n">
        <v>403</v>
      </c>
      <c r="B414" s="12">
        <f>MAX(0,'Deal Analyzer'!$B$4*(1+NORM.INV(RAND(),0,$J$4)))</f>
        <v/>
      </c>
      <c r="C414" s="12">
        <f>'Deal Analyzer'!$B$5*MAX(0.9,1+NORM.INV(RAND(),$J$5,$J$6))</f>
        <v/>
      </c>
      <c r="D414" s="12">
        <f>'Deal Analyzer'!$B$24+C414+B414*'Deal Analyzer'!$B$11</f>
        <v/>
      </c>
      <c r="E414" s="15">
        <f>IF(B414=0,0,(B414-D414)/B414)</f>
        <v/>
      </c>
      <c r="F414" s="2">
        <f>E414&gt;='Deal Analyzer'!$B$12</f>
        <v/>
      </c>
      <c r="G414" s="12">
        <f>IF(AND(F414,RAND()&lt;$J$7),'Deal Analyzer'!$B$8-'Deal Analyzer'!$B$10,-('Deal Analyzer'!$B$10+'Deal Analyzer'!$B$9*'Deal Analyzer'!$B$14))</f>
        <v/>
      </c>
      <c r="H414" s="2" t="n"/>
      <c r="I414" s="2" t="n"/>
      <c r="J414" s="2" t="n"/>
      <c r="K414" s="2" t="n"/>
    </row>
    <row r="415">
      <c r="A415" s="2" t="n">
        <v>404</v>
      </c>
      <c r="B415" s="12">
        <f>MAX(0,'Deal Analyzer'!$B$4*(1+NORM.INV(RAND(),0,$J$4)))</f>
        <v/>
      </c>
      <c r="C415" s="12">
        <f>'Deal Analyzer'!$B$5*MAX(0.9,1+NORM.INV(RAND(),$J$5,$J$6))</f>
        <v/>
      </c>
      <c r="D415" s="12">
        <f>'Deal Analyzer'!$B$24+C415+B415*'Deal Analyzer'!$B$11</f>
        <v/>
      </c>
      <c r="E415" s="15">
        <f>IF(B415=0,0,(B415-D415)/B415)</f>
        <v/>
      </c>
      <c r="F415" s="2">
        <f>E415&gt;='Deal Analyzer'!$B$12</f>
        <v/>
      </c>
      <c r="G415" s="12">
        <f>IF(AND(F415,RAND()&lt;$J$7),'Deal Analyzer'!$B$8-'Deal Analyzer'!$B$10,-('Deal Analyzer'!$B$10+'Deal Analyzer'!$B$9*'Deal Analyzer'!$B$14))</f>
        <v/>
      </c>
      <c r="H415" s="2" t="n"/>
      <c r="I415" s="2" t="n"/>
      <c r="J415" s="2" t="n"/>
      <c r="K415" s="2" t="n"/>
    </row>
    <row r="416">
      <c r="A416" s="2" t="n">
        <v>405</v>
      </c>
      <c r="B416" s="12">
        <f>MAX(0,'Deal Analyzer'!$B$4*(1+NORM.INV(RAND(),0,$J$4)))</f>
        <v/>
      </c>
      <c r="C416" s="12">
        <f>'Deal Analyzer'!$B$5*MAX(0.9,1+NORM.INV(RAND(),$J$5,$J$6))</f>
        <v/>
      </c>
      <c r="D416" s="12">
        <f>'Deal Analyzer'!$B$24+C416+B416*'Deal Analyzer'!$B$11</f>
        <v/>
      </c>
      <c r="E416" s="15">
        <f>IF(B416=0,0,(B416-D416)/B416)</f>
        <v/>
      </c>
      <c r="F416" s="2">
        <f>E416&gt;='Deal Analyzer'!$B$12</f>
        <v/>
      </c>
      <c r="G416" s="12">
        <f>IF(AND(F416,RAND()&lt;$J$7),'Deal Analyzer'!$B$8-'Deal Analyzer'!$B$10,-('Deal Analyzer'!$B$10+'Deal Analyzer'!$B$9*'Deal Analyzer'!$B$14))</f>
        <v/>
      </c>
      <c r="H416" s="2" t="n"/>
      <c r="I416" s="2" t="n"/>
      <c r="J416" s="2" t="n"/>
      <c r="K416" s="2" t="n"/>
    </row>
    <row r="417">
      <c r="A417" s="2" t="n">
        <v>406</v>
      </c>
      <c r="B417" s="12">
        <f>MAX(0,'Deal Analyzer'!$B$4*(1+NORM.INV(RAND(),0,$J$4)))</f>
        <v/>
      </c>
      <c r="C417" s="12">
        <f>'Deal Analyzer'!$B$5*MAX(0.9,1+NORM.INV(RAND(),$J$5,$J$6))</f>
        <v/>
      </c>
      <c r="D417" s="12">
        <f>'Deal Analyzer'!$B$24+C417+B417*'Deal Analyzer'!$B$11</f>
        <v/>
      </c>
      <c r="E417" s="15">
        <f>IF(B417=0,0,(B417-D417)/B417)</f>
        <v/>
      </c>
      <c r="F417" s="2">
        <f>E417&gt;='Deal Analyzer'!$B$12</f>
        <v/>
      </c>
      <c r="G417" s="12">
        <f>IF(AND(F417,RAND()&lt;$J$7),'Deal Analyzer'!$B$8-'Deal Analyzer'!$B$10,-('Deal Analyzer'!$B$10+'Deal Analyzer'!$B$9*'Deal Analyzer'!$B$14))</f>
        <v/>
      </c>
      <c r="H417" s="2" t="n"/>
      <c r="I417" s="2" t="n"/>
      <c r="J417" s="2" t="n"/>
      <c r="K417" s="2" t="n"/>
    </row>
    <row r="418">
      <c r="A418" s="2" t="n">
        <v>407</v>
      </c>
      <c r="B418" s="12">
        <f>MAX(0,'Deal Analyzer'!$B$4*(1+NORM.INV(RAND(),0,$J$4)))</f>
        <v/>
      </c>
      <c r="C418" s="12">
        <f>'Deal Analyzer'!$B$5*MAX(0.9,1+NORM.INV(RAND(),$J$5,$J$6))</f>
        <v/>
      </c>
      <c r="D418" s="12">
        <f>'Deal Analyzer'!$B$24+C418+B418*'Deal Analyzer'!$B$11</f>
        <v/>
      </c>
      <c r="E418" s="15">
        <f>IF(B418=0,0,(B418-D418)/B418)</f>
        <v/>
      </c>
      <c r="F418" s="2">
        <f>E418&gt;='Deal Analyzer'!$B$12</f>
        <v/>
      </c>
      <c r="G418" s="12">
        <f>IF(AND(F418,RAND()&lt;$J$7),'Deal Analyzer'!$B$8-'Deal Analyzer'!$B$10,-('Deal Analyzer'!$B$10+'Deal Analyzer'!$B$9*'Deal Analyzer'!$B$14))</f>
        <v/>
      </c>
      <c r="H418" s="2" t="n"/>
      <c r="I418" s="2" t="n"/>
      <c r="J418" s="2" t="n"/>
      <c r="K418" s="2" t="n"/>
    </row>
    <row r="419">
      <c r="A419" s="2" t="n">
        <v>408</v>
      </c>
      <c r="B419" s="12">
        <f>MAX(0,'Deal Analyzer'!$B$4*(1+NORM.INV(RAND(),0,$J$4)))</f>
        <v/>
      </c>
      <c r="C419" s="12">
        <f>'Deal Analyzer'!$B$5*MAX(0.9,1+NORM.INV(RAND(),$J$5,$J$6))</f>
        <v/>
      </c>
      <c r="D419" s="12">
        <f>'Deal Analyzer'!$B$24+C419+B419*'Deal Analyzer'!$B$11</f>
        <v/>
      </c>
      <c r="E419" s="15">
        <f>IF(B419=0,0,(B419-D419)/B419)</f>
        <v/>
      </c>
      <c r="F419" s="2">
        <f>E419&gt;='Deal Analyzer'!$B$12</f>
        <v/>
      </c>
      <c r="G419" s="12">
        <f>IF(AND(F419,RAND()&lt;$J$7),'Deal Analyzer'!$B$8-'Deal Analyzer'!$B$10,-('Deal Analyzer'!$B$10+'Deal Analyzer'!$B$9*'Deal Analyzer'!$B$14))</f>
        <v/>
      </c>
      <c r="H419" s="2" t="n"/>
      <c r="I419" s="2" t="n"/>
      <c r="J419" s="2" t="n"/>
      <c r="K419" s="2" t="n"/>
    </row>
    <row r="420">
      <c r="A420" s="2" t="n">
        <v>409</v>
      </c>
      <c r="B420" s="12">
        <f>MAX(0,'Deal Analyzer'!$B$4*(1+NORM.INV(RAND(),0,$J$4)))</f>
        <v/>
      </c>
      <c r="C420" s="12">
        <f>'Deal Analyzer'!$B$5*MAX(0.9,1+NORM.INV(RAND(),$J$5,$J$6))</f>
        <v/>
      </c>
      <c r="D420" s="12">
        <f>'Deal Analyzer'!$B$24+C420+B420*'Deal Analyzer'!$B$11</f>
        <v/>
      </c>
      <c r="E420" s="15">
        <f>IF(B420=0,0,(B420-D420)/B420)</f>
        <v/>
      </c>
      <c r="F420" s="2">
        <f>E420&gt;='Deal Analyzer'!$B$12</f>
        <v/>
      </c>
      <c r="G420" s="12">
        <f>IF(AND(F420,RAND()&lt;$J$7),'Deal Analyzer'!$B$8-'Deal Analyzer'!$B$10,-('Deal Analyzer'!$B$10+'Deal Analyzer'!$B$9*'Deal Analyzer'!$B$14))</f>
        <v/>
      </c>
      <c r="H420" s="2" t="n"/>
      <c r="I420" s="2" t="n"/>
      <c r="J420" s="2" t="n"/>
      <c r="K420" s="2" t="n"/>
    </row>
    <row r="421">
      <c r="A421" s="2" t="n">
        <v>410</v>
      </c>
      <c r="B421" s="12">
        <f>MAX(0,'Deal Analyzer'!$B$4*(1+NORM.INV(RAND(),0,$J$4)))</f>
        <v/>
      </c>
      <c r="C421" s="12">
        <f>'Deal Analyzer'!$B$5*MAX(0.9,1+NORM.INV(RAND(),$J$5,$J$6))</f>
        <v/>
      </c>
      <c r="D421" s="12">
        <f>'Deal Analyzer'!$B$24+C421+B421*'Deal Analyzer'!$B$11</f>
        <v/>
      </c>
      <c r="E421" s="15">
        <f>IF(B421=0,0,(B421-D421)/B421)</f>
        <v/>
      </c>
      <c r="F421" s="2">
        <f>E421&gt;='Deal Analyzer'!$B$12</f>
        <v/>
      </c>
      <c r="G421" s="12">
        <f>IF(AND(F421,RAND()&lt;$J$7),'Deal Analyzer'!$B$8-'Deal Analyzer'!$B$10,-('Deal Analyzer'!$B$10+'Deal Analyzer'!$B$9*'Deal Analyzer'!$B$14))</f>
        <v/>
      </c>
      <c r="H421" s="2" t="n"/>
      <c r="I421" s="2" t="n"/>
      <c r="J421" s="2" t="n"/>
      <c r="K421" s="2" t="n"/>
    </row>
    <row r="422">
      <c r="A422" s="2" t="n">
        <v>411</v>
      </c>
      <c r="B422" s="12">
        <f>MAX(0,'Deal Analyzer'!$B$4*(1+NORM.INV(RAND(),0,$J$4)))</f>
        <v/>
      </c>
      <c r="C422" s="12">
        <f>'Deal Analyzer'!$B$5*MAX(0.9,1+NORM.INV(RAND(),$J$5,$J$6))</f>
        <v/>
      </c>
      <c r="D422" s="12">
        <f>'Deal Analyzer'!$B$24+C422+B422*'Deal Analyzer'!$B$11</f>
        <v/>
      </c>
      <c r="E422" s="15">
        <f>IF(B422=0,0,(B422-D422)/B422)</f>
        <v/>
      </c>
      <c r="F422" s="2">
        <f>E422&gt;='Deal Analyzer'!$B$12</f>
        <v/>
      </c>
      <c r="G422" s="12">
        <f>IF(AND(F422,RAND()&lt;$J$7),'Deal Analyzer'!$B$8-'Deal Analyzer'!$B$10,-('Deal Analyzer'!$B$10+'Deal Analyzer'!$B$9*'Deal Analyzer'!$B$14))</f>
        <v/>
      </c>
      <c r="H422" s="2" t="n"/>
      <c r="I422" s="2" t="n"/>
      <c r="J422" s="2" t="n"/>
      <c r="K422" s="2" t="n"/>
    </row>
    <row r="423">
      <c r="A423" s="2" t="n">
        <v>412</v>
      </c>
      <c r="B423" s="12">
        <f>MAX(0,'Deal Analyzer'!$B$4*(1+NORM.INV(RAND(),0,$J$4)))</f>
        <v/>
      </c>
      <c r="C423" s="12">
        <f>'Deal Analyzer'!$B$5*MAX(0.9,1+NORM.INV(RAND(),$J$5,$J$6))</f>
        <v/>
      </c>
      <c r="D423" s="12">
        <f>'Deal Analyzer'!$B$24+C423+B423*'Deal Analyzer'!$B$11</f>
        <v/>
      </c>
      <c r="E423" s="15">
        <f>IF(B423=0,0,(B423-D423)/B423)</f>
        <v/>
      </c>
      <c r="F423" s="2">
        <f>E423&gt;='Deal Analyzer'!$B$12</f>
        <v/>
      </c>
      <c r="G423" s="12">
        <f>IF(AND(F423,RAND()&lt;$J$7),'Deal Analyzer'!$B$8-'Deal Analyzer'!$B$10,-('Deal Analyzer'!$B$10+'Deal Analyzer'!$B$9*'Deal Analyzer'!$B$14))</f>
        <v/>
      </c>
      <c r="H423" s="2" t="n"/>
      <c r="I423" s="2" t="n"/>
      <c r="J423" s="2" t="n"/>
      <c r="K423" s="2" t="n"/>
    </row>
    <row r="424">
      <c r="A424" s="2" t="n">
        <v>413</v>
      </c>
      <c r="B424" s="12">
        <f>MAX(0,'Deal Analyzer'!$B$4*(1+NORM.INV(RAND(),0,$J$4)))</f>
        <v/>
      </c>
      <c r="C424" s="12">
        <f>'Deal Analyzer'!$B$5*MAX(0.9,1+NORM.INV(RAND(),$J$5,$J$6))</f>
        <v/>
      </c>
      <c r="D424" s="12">
        <f>'Deal Analyzer'!$B$24+C424+B424*'Deal Analyzer'!$B$11</f>
        <v/>
      </c>
      <c r="E424" s="15">
        <f>IF(B424=0,0,(B424-D424)/B424)</f>
        <v/>
      </c>
      <c r="F424" s="2">
        <f>E424&gt;='Deal Analyzer'!$B$12</f>
        <v/>
      </c>
      <c r="G424" s="12">
        <f>IF(AND(F424,RAND()&lt;$J$7),'Deal Analyzer'!$B$8-'Deal Analyzer'!$B$10,-('Deal Analyzer'!$B$10+'Deal Analyzer'!$B$9*'Deal Analyzer'!$B$14))</f>
        <v/>
      </c>
      <c r="H424" s="2" t="n"/>
      <c r="I424" s="2" t="n"/>
      <c r="J424" s="2" t="n"/>
      <c r="K424" s="2" t="n"/>
    </row>
    <row r="425">
      <c r="A425" s="2" t="n">
        <v>414</v>
      </c>
      <c r="B425" s="12">
        <f>MAX(0,'Deal Analyzer'!$B$4*(1+NORM.INV(RAND(),0,$J$4)))</f>
        <v/>
      </c>
      <c r="C425" s="12">
        <f>'Deal Analyzer'!$B$5*MAX(0.9,1+NORM.INV(RAND(),$J$5,$J$6))</f>
        <v/>
      </c>
      <c r="D425" s="12">
        <f>'Deal Analyzer'!$B$24+C425+B425*'Deal Analyzer'!$B$11</f>
        <v/>
      </c>
      <c r="E425" s="15">
        <f>IF(B425=0,0,(B425-D425)/B425)</f>
        <v/>
      </c>
      <c r="F425" s="2">
        <f>E425&gt;='Deal Analyzer'!$B$12</f>
        <v/>
      </c>
      <c r="G425" s="12">
        <f>IF(AND(F425,RAND()&lt;$J$7),'Deal Analyzer'!$B$8-'Deal Analyzer'!$B$10,-('Deal Analyzer'!$B$10+'Deal Analyzer'!$B$9*'Deal Analyzer'!$B$14))</f>
        <v/>
      </c>
      <c r="H425" s="2" t="n"/>
      <c r="I425" s="2" t="n"/>
      <c r="J425" s="2" t="n"/>
      <c r="K425" s="2" t="n"/>
    </row>
    <row r="426">
      <c r="A426" s="2" t="n">
        <v>415</v>
      </c>
      <c r="B426" s="12">
        <f>MAX(0,'Deal Analyzer'!$B$4*(1+NORM.INV(RAND(),0,$J$4)))</f>
        <v/>
      </c>
      <c r="C426" s="12">
        <f>'Deal Analyzer'!$B$5*MAX(0.9,1+NORM.INV(RAND(),$J$5,$J$6))</f>
        <v/>
      </c>
      <c r="D426" s="12">
        <f>'Deal Analyzer'!$B$24+C426+B426*'Deal Analyzer'!$B$11</f>
        <v/>
      </c>
      <c r="E426" s="15">
        <f>IF(B426=0,0,(B426-D426)/B426)</f>
        <v/>
      </c>
      <c r="F426" s="2">
        <f>E426&gt;='Deal Analyzer'!$B$12</f>
        <v/>
      </c>
      <c r="G426" s="12">
        <f>IF(AND(F426,RAND()&lt;$J$7),'Deal Analyzer'!$B$8-'Deal Analyzer'!$B$10,-('Deal Analyzer'!$B$10+'Deal Analyzer'!$B$9*'Deal Analyzer'!$B$14))</f>
        <v/>
      </c>
      <c r="H426" s="2" t="n"/>
      <c r="I426" s="2" t="n"/>
      <c r="J426" s="2" t="n"/>
      <c r="K426" s="2" t="n"/>
    </row>
    <row r="427">
      <c r="A427" s="2" t="n">
        <v>416</v>
      </c>
      <c r="B427" s="12">
        <f>MAX(0,'Deal Analyzer'!$B$4*(1+NORM.INV(RAND(),0,$J$4)))</f>
        <v/>
      </c>
      <c r="C427" s="12">
        <f>'Deal Analyzer'!$B$5*MAX(0.9,1+NORM.INV(RAND(),$J$5,$J$6))</f>
        <v/>
      </c>
      <c r="D427" s="12">
        <f>'Deal Analyzer'!$B$24+C427+B427*'Deal Analyzer'!$B$11</f>
        <v/>
      </c>
      <c r="E427" s="15">
        <f>IF(B427=0,0,(B427-D427)/B427)</f>
        <v/>
      </c>
      <c r="F427" s="2">
        <f>E427&gt;='Deal Analyzer'!$B$12</f>
        <v/>
      </c>
      <c r="G427" s="12">
        <f>IF(AND(F427,RAND()&lt;$J$7),'Deal Analyzer'!$B$8-'Deal Analyzer'!$B$10,-('Deal Analyzer'!$B$10+'Deal Analyzer'!$B$9*'Deal Analyzer'!$B$14))</f>
        <v/>
      </c>
      <c r="H427" s="2" t="n"/>
      <c r="I427" s="2" t="n"/>
      <c r="J427" s="2" t="n"/>
      <c r="K427" s="2" t="n"/>
    </row>
    <row r="428">
      <c r="A428" s="2" t="n">
        <v>417</v>
      </c>
      <c r="B428" s="12">
        <f>MAX(0,'Deal Analyzer'!$B$4*(1+NORM.INV(RAND(),0,$J$4)))</f>
        <v/>
      </c>
      <c r="C428" s="12">
        <f>'Deal Analyzer'!$B$5*MAX(0.9,1+NORM.INV(RAND(),$J$5,$J$6))</f>
        <v/>
      </c>
      <c r="D428" s="12">
        <f>'Deal Analyzer'!$B$24+C428+B428*'Deal Analyzer'!$B$11</f>
        <v/>
      </c>
      <c r="E428" s="15">
        <f>IF(B428=0,0,(B428-D428)/B428)</f>
        <v/>
      </c>
      <c r="F428" s="2">
        <f>E428&gt;='Deal Analyzer'!$B$12</f>
        <v/>
      </c>
      <c r="G428" s="12">
        <f>IF(AND(F428,RAND()&lt;$J$7),'Deal Analyzer'!$B$8-'Deal Analyzer'!$B$10,-('Deal Analyzer'!$B$10+'Deal Analyzer'!$B$9*'Deal Analyzer'!$B$14))</f>
        <v/>
      </c>
      <c r="H428" s="2" t="n"/>
      <c r="I428" s="2" t="n"/>
      <c r="J428" s="2" t="n"/>
      <c r="K428" s="2" t="n"/>
    </row>
    <row r="429">
      <c r="A429" s="2" t="n">
        <v>418</v>
      </c>
      <c r="B429" s="12">
        <f>MAX(0,'Deal Analyzer'!$B$4*(1+NORM.INV(RAND(),0,$J$4)))</f>
        <v/>
      </c>
      <c r="C429" s="12">
        <f>'Deal Analyzer'!$B$5*MAX(0.9,1+NORM.INV(RAND(),$J$5,$J$6))</f>
        <v/>
      </c>
      <c r="D429" s="12">
        <f>'Deal Analyzer'!$B$24+C429+B429*'Deal Analyzer'!$B$11</f>
        <v/>
      </c>
      <c r="E429" s="15">
        <f>IF(B429=0,0,(B429-D429)/B429)</f>
        <v/>
      </c>
      <c r="F429" s="2">
        <f>E429&gt;='Deal Analyzer'!$B$12</f>
        <v/>
      </c>
      <c r="G429" s="12">
        <f>IF(AND(F429,RAND()&lt;$J$7),'Deal Analyzer'!$B$8-'Deal Analyzer'!$B$10,-('Deal Analyzer'!$B$10+'Deal Analyzer'!$B$9*'Deal Analyzer'!$B$14))</f>
        <v/>
      </c>
      <c r="H429" s="2" t="n"/>
      <c r="I429" s="2" t="n"/>
      <c r="J429" s="2" t="n"/>
      <c r="K429" s="2" t="n"/>
    </row>
    <row r="430">
      <c r="A430" s="2" t="n">
        <v>419</v>
      </c>
      <c r="B430" s="12">
        <f>MAX(0,'Deal Analyzer'!$B$4*(1+NORM.INV(RAND(),0,$J$4)))</f>
        <v/>
      </c>
      <c r="C430" s="12">
        <f>'Deal Analyzer'!$B$5*MAX(0.9,1+NORM.INV(RAND(),$J$5,$J$6))</f>
        <v/>
      </c>
      <c r="D430" s="12">
        <f>'Deal Analyzer'!$B$24+C430+B430*'Deal Analyzer'!$B$11</f>
        <v/>
      </c>
      <c r="E430" s="15">
        <f>IF(B430=0,0,(B430-D430)/B430)</f>
        <v/>
      </c>
      <c r="F430" s="2">
        <f>E430&gt;='Deal Analyzer'!$B$12</f>
        <v/>
      </c>
      <c r="G430" s="12">
        <f>IF(AND(F430,RAND()&lt;$J$7),'Deal Analyzer'!$B$8-'Deal Analyzer'!$B$10,-('Deal Analyzer'!$B$10+'Deal Analyzer'!$B$9*'Deal Analyzer'!$B$14))</f>
        <v/>
      </c>
      <c r="H430" s="2" t="n"/>
      <c r="I430" s="2" t="n"/>
      <c r="J430" s="2" t="n"/>
      <c r="K430" s="2" t="n"/>
    </row>
    <row r="431">
      <c r="A431" s="2" t="n">
        <v>420</v>
      </c>
      <c r="B431" s="12">
        <f>MAX(0,'Deal Analyzer'!$B$4*(1+NORM.INV(RAND(),0,$J$4)))</f>
        <v/>
      </c>
      <c r="C431" s="12">
        <f>'Deal Analyzer'!$B$5*MAX(0.9,1+NORM.INV(RAND(),$J$5,$J$6))</f>
        <v/>
      </c>
      <c r="D431" s="12">
        <f>'Deal Analyzer'!$B$24+C431+B431*'Deal Analyzer'!$B$11</f>
        <v/>
      </c>
      <c r="E431" s="15">
        <f>IF(B431=0,0,(B431-D431)/B431)</f>
        <v/>
      </c>
      <c r="F431" s="2">
        <f>E431&gt;='Deal Analyzer'!$B$12</f>
        <v/>
      </c>
      <c r="G431" s="12">
        <f>IF(AND(F431,RAND()&lt;$J$7),'Deal Analyzer'!$B$8-'Deal Analyzer'!$B$10,-('Deal Analyzer'!$B$10+'Deal Analyzer'!$B$9*'Deal Analyzer'!$B$14))</f>
        <v/>
      </c>
      <c r="H431" s="2" t="n"/>
      <c r="I431" s="2" t="n"/>
      <c r="J431" s="2" t="n"/>
      <c r="K431" s="2" t="n"/>
    </row>
    <row r="432">
      <c r="A432" s="2" t="n">
        <v>421</v>
      </c>
      <c r="B432" s="12">
        <f>MAX(0,'Deal Analyzer'!$B$4*(1+NORM.INV(RAND(),0,$J$4)))</f>
        <v/>
      </c>
      <c r="C432" s="12">
        <f>'Deal Analyzer'!$B$5*MAX(0.9,1+NORM.INV(RAND(),$J$5,$J$6))</f>
        <v/>
      </c>
      <c r="D432" s="12">
        <f>'Deal Analyzer'!$B$24+C432+B432*'Deal Analyzer'!$B$11</f>
        <v/>
      </c>
      <c r="E432" s="15">
        <f>IF(B432=0,0,(B432-D432)/B432)</f>
        <v/>
      </c>
      <c r="F432" s="2">
        <f>E432&gt;='Deal Analyzer'!$B$12</f>
        <v/>
      </c>
      <c r="G432" s="12">
        <f>IF(AND(F432,RAND()&lt;$J$7),'Deal Analyzer'!$B$8-'Deal Analyzer'!$B$10,-('Deal Analyzer'!$B$10+'Deal Analyzer'!$B$9*'Deal Analyzer'!$B$14))</f>
        <v/>
      </c>
      <c r="H432" s="2" t="n"/>
      <c r="I432" s="2" t="n"/>
      <c r="J432" s="2" t="n"/>
      <c r="K432" s="2" t="n"/>
    </row>
    <row r="433">
      <c r="A433" s="2" t="n">
        <v>422</v>
      </c>
      <c r="B433" s="12">
        <f>MAX(0,'Deal Analyzer'!$B$4*(1+NORM.INV(RAND(),0,$J$4)))</f>
        <v/>
      </c>
      <c r="C433" s="12">
        <f>'Deal Analyzer'!$B$5*MAX(0.9,1+NORM.INV(RAND(),$J$5,$J$6))</f>
        <v/>
      </c>
      <c r="D433" s="12">
        <f>'Deal Analyzer'!$B$24+C433+B433*'Deal Analyzer'!$B$11</f>
        <v/>
      </c>
      <c r="E433" s="15">
        <f>IF(B433=0,0,(B433-D433)/B433)</f>
        <v/>
      </c>
      <c r="F433" s="2">
        <f>E433&gt;='Deal Analyzer'!$B$12</f>
        <v/>
      </c>
      <c r="G433" s="12">
        <f>IF(AND(F433,RAND()&lt;$J$7),'Deal Analyzer'!$B$8-'Deal Analyzer'!$B$10,-('Deal Analyzer'!$B$10+'Deal Analyzer'!$B$9*'Deal Analyzer'!$B$14))</f>
        <v/>
      </c>
      <c r="H433" s="2" t="n"/>
      <c r="I433" s="2" t="n"/>
      <c r="J433" s="2" t="n"/>
      <c r="K433" s="2" t="n"/>
    </row>
    <row r="434">
      <c r="A434" s="2" t="n">
        <v>423</v>
      </c>
      <c r="B434" s="12">
        <f>MAX(0,'Deal Analyzer'!$B$4*(1+NORM.INV(RAND(),0,$J$4)))</f>
        <v/>
      </c>
      <c r="C434" s="12">
        <f>'Deal Analyzer'!$B$5*MAX(0.9,1+NORM.INV(RAND(),$J$5,$J$6))</f>
        <v/>
      </c>
      <c r="D434" s="12">
        <f>'Deal Analyzer'!$B$24+C434+B434*'Deal Analyzer'!$B$11</f>
        <v/>
      </c>
      <c r="E434" s="15">
        <f>IF(B434=0,0,(B434-D434)/B434)</f>
        <v/>
      </c>
      <c r="F434" s="2">
        <f>E434&gt;='Deal Analyzer'!$B$12</f>
        <v/>
      </c>
      <c r="G434" s="12">
        <f>IF(AND(F434,RAND()&lt;$J$7),'Deal Analyzer'!$B$8-'Deal Analyzer'!$B$10,-('Deal Analyzer'!$B$10+'Deal Analyzer'!$B$9*'Deal Analyzer'!$B$14))</f>
        <v/>
      </c>
      <c r="H434" s="2" t="n"/>
      <c r="I434" s="2" t="n"/>
      <c r="J434" s="2" t="n"/>
      <c r="K434" s="2" t="n"/>
    </row>
    <row r="435">
      <c r="A435" s="2" t="n">
        <v>424</v>
      </c>
      <c r="B435" s="12">
        <f>MAX(0,'Deal Analyzer'!$B$4*(1+NORM.INV(RAND(),0,$J$4)))</f>
        <v/>
      </c>
      <c r="C435" s="12">
        <f>'Deal Analyzer'!$B$5*MAX(0.9,1+NORM.INV(RAND(),$J$5,$J$6))</f>
        <v/>
      </c>
      <c r="D435" s="12">
        <f>'Deal Analyzer'!$B$24+C435+B435*'Deal Analyzer'!$B$11</f>
        <v/>
      </c>
      <c r="E435" s="15">
        <f>IF(B435=0,0,(B435-D435)/B435)</f>
        <v/>
      </c>
      <c r="F435" s="2">
        <f>E435&gt;='Deal Analyzer'!$B$12</f>
        <v/>
      </c>
      <c r="G435" s="12">
        <f>IF(AND(F435,RAND()&lt;$J$7),'Deal Analyzer'!$B$8-'Deal Analyzer'!$B$10,-('Deal Analyzer'!$B$10+'Deal Analyzer'!$B$9*'Deal Analyzer'!$B$14))</f>
        <v/>
      </c>
      <c r="H435" s="2" t="n"/>
      <c r="I435" s="2" t="n"/>
      <c r="J435" s="2" t="n"/>
      <c r="K435" s="2" t="n"/>
    </row>
    <row r="436">
      <c r="A436" s="2" t="n">
        <v>425</v>
      </c>
      <c r="B436" s="12">
        <f>MAX(0,'Deal Analyzer'!$B$4*(1+NORM.INV(RAND(),0,$J$4)))</f>
        <v/>
      </c>
      <c r="C436" s="12">
        <f>'Deal Analyzer'!$B$5*MAX(0.9,1+NORM.INV(RAND(),$J$5,$J$6))</f>
        <v/>
      </c>
      <c r="D436" s="12">
        <f>'Deal Analyzer'!$B$24+C436+B436*'Deal Analyzer'!$B$11</f>
        <v/>
      </c>
      <c r="E436" s="15">
        <f>IF(B436=0,0,(B436-D436)/B436)</f>
        <v/>
      </c>
      <c r="F436" s="2">
        <f>E436&gt;='Deal Analyzer'!$B$12</f>
        <v/>
      </c>
      <c r="G436" s="12">
        <f>IF(AND(F436,RAND()&lt;$J$7),'Deal Analyzer'!$B$8-'Deal Analyzer'!$B$10,-('Deal Analyzer'!$B$10+'Deal Analyzer'!$B$9*'Deal Analyzer'!$B$14))</f>
        <v/>
      </c>
      <c r="H436" s="2" t="n"/>
      <c r="I436" s="2" t="n"/>
      <c r="J436" s="2" t="n"/>
      <c r="K436" s="2" t="n"/>
    </row>
    <row r="437">
      <c r="A437" s="2" t="n">
        <v>426</v>
      </c>
      <c r="B437" s="12">
        <f>MAX(0,'Deal Analyzer'!$B$4*(1+NORM.INV(RAND(),0,$J$4)))</f>
        <v/>
      </c>
      <c r="C437" s="12">
        <f>'Deal Analyzer'!$B$5*MAX(0.9,1+NORM.INV(RAND(),$J$5,$J$6))</f>
        <v/>
      </c>
      <c r="D437" s="12">
        <f>'Deal Analyzer'!$B$24+C437+B437*'Deal Analyzer'!$B$11</f>
        <v/>
      </c>
      <c r="E437" s="15">
        <f>IF(B437=0,0,(B437-D437)/B437)</f>
        <v/>
      </c>
      <c r="F437" s="2">
        <f>E437&gt;='Deal Analyzer'!$B$12</f>
        <v/>
      </c>
      <c r="G437" s="12">
        <f>IF(AND(F437,RAND()&lt;$J$7),'Deal Analyzer'!$B$8-'Deal Analyzer'!$B$10,-('Deal Analyzer'!$B$10+'Deal Analyzer'!$B$9*'Deal Analyzer'!$B$14))</f>
        <v/>
      </c>
      <c r="H437" s="2" t="n"/>
      <c r="I437" s="2" t="n"/>
      <c r="J437" s="2" t="n"/>
      <c r="K437" s="2" t="n"/>
    </row>
    <row r="438">
      <c r="A438" s="2" t="n">
        <v>427</v>
      </c>
      <c r="B438" s="12">
        <f>MAX(0,'Deal Analyzer'!$B$4*(1+NORM.INV(RAND(),0,$J$4)))</f>
        <v/>
      </c>
      <c r="C438" s="12">
        <f>'Deal Analyzer'!$B$5*MAX(0.9,1+NORM.INV(RAND(),$J$5,$J$6))</f>
        <v/>
      </c>
      <c r="D438" s="12">
        <f>'Deal Analyzer'!$B$24+C438+B438*'Deal Analyzer'!$B$11</f>
        <v/>
      </c>
      <c r="E438" s="15">
        <f>IF(B438=0,0,(B438-D438)/B438)</f>
        <v/>
      </c>
      <c r="F438" s="2">
        <f>E438&gt;='Deal Analyzer'!$B$12</f>
        <v/>
      </c>
      <c r="G438" s="12">
        <f>IF(AND(F438,RAND()&lt;$J$7),'Deal Analyzer'!$B$8-'Deal Analyzer'!$B$10,-('Deal Analyzer'!$B$10+'Deal Analyzer'!$B$9*'Deal Analyzer'!$B$14))</f>
        <v/>
      </c>
      <c r="H438" s="2" t="n"/>
      <c r="I438" s="2" t="n"/>
      <c r="J438" s="2" t="n"/>
      <c r="K438" s="2" t="n"/>
    </row>
    <row r="439">
      <c r="A439" s="2" t="n">
        <v>428</v>
      </c>
      <c r="B439" s="12">
        <f>MAX(0,'Deal Analyzer'!$B$4*(1+NORM.INV(RAND(),0,$J$4)))</f>
        <v/>
      </c>
      <c r="C439" s="12">
        <f>'Deal Analyzer'!$B$5*MAX(0.9,1+NORM.INV(RAND(),$J$5,$J$6))</f>
        <v/>
      </c>
      <c r="D439" s="12">
        <f>'Deal Analyzer'!$B$24+C439+B439*'Deal Analyzer'!$B$11</f>
        <v/>
      </c>
      <c r="E439" s="15">
        <f>IF(B439=0,0,(B439-D439)/B439)</f>
        <v/>
      </c>
      <c r="F439" s="2">
        <f>E439&gt;='Deal Analyzer'!$B$12</f>
        <v/>
      </c>
      <c r="G439" s="12">
        <f>IF(AND(F439,RAND()&lt;$J$7),'Deal Analyzer'!$B$8-'Deal Analyzer'!$B$10,-('Deal Analyzer'!$B$10+'Deal Analyzer'!$B$9*'Deal Analyzer'!$B$14))</f>
        <v/>
      </c>
      <c r="H439" s="2" t="n"/>
      <c r="I439" s="2" t="n"/>
      <c r="J439" s="2" t="n"/>
      <c r="K439" s="2" t="n"/>
    </row>
    <row r="440">
      <c r="A440" s="2" t="n">
        <v>429</v>
      </c>
      <c r="B440" s="12">
        <f>MAX(0,'Deal Analyzer'!$B$4*(1+NORM.INV(RAND(),0,$J$4)))</f>
        <v/>
      </c>
      <c r="C440" s="12">
        <f>'Deal Analyzer'!$B$5*MAX(0.9,1+NORM.INV(RAND(),$J$5,$J$6))</f>
        <v/>
      </c>
      <c r="D440" s="12">
        <f>'Deal Analyzer'!$B$24+C440+B440*'Deal Analyzer'!$B$11</f>
        <v/>
      </c>
      <c r="E440" s="15">
        <f>IF(B440=0,0,(B440-D440)/B440)</f>
        <v/>
      </c>
      <c r="F440" s="2">
        <f>E440&gt;='Deal Analyzer'!$B$12</f>
        <v/>
      </c>
      <c r="G440" s="12">
        <f>IF(AND(F440,RAND()&lt;$J$7),'Deal Analyzer'!$B$8-'Deal Analyzer'!$B$10,-('Deal Analyzer'!$B$10+'Deal Analyzer'!$B$9*'Deal Analyzer'!$B$14))</f>
        <v/>
      </c>
      <c r="H440" s="2" t="n"/>
      <c r="I440" s="2" t="n"/>
      <c r="J440" s="2" t="n"/>
      <c r="K440" s="2" t="n"/>
    </row>
    <row r="441">
      <c r="A441" s="2" t="n">
        <v>430</v>
      </c>
      <c r="B441" s="12">
        <f>MAX(0,'Deal Analyzer'!$B$4*(1+NORM.INV(RAND(),0,$J$4)))</f>
        <v/>
      </c>
      <c r="C441" s="12">
        <f>'Deal Analyzer'!$B$5*MAX(0.9,1+NORM.INV(RAND(),$J$5,$J$6))</f>
        <v/>
      </c>
      <c r="D441" s="12">
        <f>'Deal Analyzer'!$B$24+C441+B441*'Deal Analyzer'!$B$11</f>
        <v/>
      </c>
      <c r="E441" s="15">
        <f>IF(B441=0,0,(B441-D441)/B441)</f>
        <v/>
      </c>
      <c r="F441" s="2">
        <f>E441&gt;='Deal Analyzer'!$B$12</f>
        <v/>
      </c>
      <c r="G441" s="12">
        <f>IF(AND(F441,RAND()&lt;$J$7),'Deal Analyzer'!$B$8-'Deal Analyzer'!$B$10,-('Deal Analyzer'!$B$10+'Deal Analyzer'!$B$9*'Deal Analyzer'!$B$14))</f>
        <v/>
      </c>
      <c r="H441" s="2" t="n"/>
      <c r="I441" s="2" t="n"/>
      <c r="J441" s="2" t="n"/>
      <c r="K441" s="2" t="n"/>
    </row>
    <row r="442">
      <c r="A442" s="2" t="n">
        <v>431</v>
      </c>
      <c r="B442" s="12">
        <f>MAX(0,'Deal Analyzer'!$B$4*(1+NORM.INV(RAND(),0,$J$4)))</f>
        <v/>
      </c>
      <c r="C442" s="12">
        <f>'Deal Analyzer'!$B$5*MAX(0.9,1+NORM.INV(RAND(),$J$5,$J$6))</f>
        <v/>
      </c>
      <c r="D442" s="12">
        <f>'Deal Analyzer'!$B$24+C442+B442*'Deal Analyzer'!$B$11</f>
        <v/>
      </c>
      <c r="E442" s="15">
        <f>IF(B442=0,0,(B442-D442)/B442)</f>
        <v/>
      </c>
      <c r="F442" s="2">
        <f>E442&gt;='Deal Analyzer'!$B$12</f>
        <v/>
      </c>
      <c r="G442" s="12">
        <f>IF(AND(F442,RAND()&lt;$J$7),'Deal Analyzer'!$B$8-'Deal Analyzer'!$B$10,-('Deal Analyzer'!$B$10+'Deal Analyzer'!$B$9*'Deal Analyzer'!$B$14))</f>
        <v/>
      </c>
      <c r="H442" s="2" t="n"/>
      <c r="I442" s="2" t="n"/>
      <c r="J442" s="2" t="n"/>
      <c r="K442" s="2" t="n"/>
    </row>
    <row r="443">
      <c r="A443" s="2" t="n">
        <v>432</v>
      </c>
      <c r="B443" s="12">
        <f>MAX(0,'Deal Analyzer'!$B$4*(1+NORM.INV(RAND(),0,$J$4)))</f>
        <v/>
      </c>
      <c r="C443" s="12">
        <f>'Deal Analyzer'!$B$5*MAX(0.9,1+NORM.INV(RAND(),$J$5,$J$6))</f>
        <v/>
      </c>
      <c r="D443" s="12">
        <f>'Deal Analyzer'!$B$24+C443+B443*'Deal Analyzer'!$B$11</f>
        <v/>
      </c>
      <c r="E443" s="15">
        <f>IF(B443=0,0,(B443-D443)/B443)</f>
        <v/>
      </c>
      <c r="F443" s="2">
        <f>E443&gt;='Deal Analyzer'!$B$12</f>
        <v/>
      </c>
      <c r="G443" s="12">
        <f>IF(AND(F443,RAND()&lt;$J$7),'Deal Analyzer'!$B$8-'Deal Analyzer'!$B$10,-('Deal Analyzer'!$B$10+'Deal Analyzer'!$B$9*'Deal Analyzer'!$B$14))</f>
        <v/>
      </c>
      <c r="H443" s="2" t="n"/>
      <c r="I443" s="2" t="n"/>
      <c r="J443" s="2" t="n"/>
      <c r="K443" s="2" t="n"/>
    </row>
    <row r="444">
      <c r="A444" s="2" t="n">
        <v>433</v>
      </c>
      <c r="B444" s="12">
        <f>MAX(0,'Deal Analyzer'!$B$4*(1+NORM.INV(RAND(),0,$J$4)))</f>
        <v/>
      </c>
      <c r="C444" s="12">
        <f>'Deal Analyzer'!$B$5*MAX(0.9,1+NORM.INV(RAND(),$J$5,$J$6))</f>
        <v/>
      </c>
      <c r="D444" s="12">
        <f>'Deal Analyzer'!$B$24+C444+B444*'Deal Analyzer'!$B$11</f>
        <v/>
      </c>
      <c r="E444" s="15">
        <f>IF(B444=0,0,(B444-D444)/B444)</f>
        <v/>
      </c>
      <c r="F444" s="2">
        <f>E444&gt;='Deal Analyzer'!$B$12</f>
        <v/>
      </c>
      <c r="G444" s="12">
        <f>IF(AND(F444,RAND()&lt;$J$7),'Deal Analyzer'!$B$8-'Deal Analyzer'!$B$10,-('Deal Analyzer'!$B$10+'Deal Analyzer'!$B$9*'Deal Analyzer'!$B$14))</f>
        <v/>
      </c>
      <c r="H444" s="2" t="n"/>
      <c r="I444" s="2" t="n"/>
      <c r="J444" s="2" t="n"/>
      <c r="K444" s="2" t="n"/>
    </row>
    <row r="445">
      <c r="A445" s="2" t="n">
        <v>434</v>
      </c>
      <c r="B445" s="12">
        <f>MAX(0,'Deal Analyzer'!$B$4*(1+NORM.INV(RAND(),0,$J$4)))</f>
        <v/>
      </c>
      <c r="C445" s="12">
        <f>'Deal Analyzer'!$B$5*MAX(0.9,1+NORM.INV(RAND(),$J$5,$J$6))</f>
        <v/>
      </c>
      <c r="D445" s="12">
        <f>'Deal Analyzer'!$B$24+C445+B445*'Deal Analyzer'!$B$11</f>
        <v/>
      </c>
      <c r="E445" s="15">
        <f>IF(B445=0,0,(B445-D445)/B445)</f>
        <v/>
      </c>
      <c r="F445" s="2">
        <f>E445&gt;='Deal Analyzer'!$B$12</f>
        <v/>
      </c>
      <c r="G445" s="12">
        <f>IF(AND(F445,RAND()&lt;$J$7),'Deal Analyzer'!$B$8-'Deal Analyzer'!$B$10,-('Deal Analyzer'!$B$10+'Deal Analyzer'!$B$9*'Deal Analyzer'!$B$14))</f>
        <v/>
      </c>
      <c r="H445" s="2" t="n"/>
      <c r="I445" s="2" t="n"/>
      <c r="J445" s="2" t="n"/>
      <c r="K445" s="2" t="n"/>
    </row>
    <row r="446">
      <c r="A446" s="2" t="n">
        <v>435</v>
      </c>
      <c r="B446" s="12">
        <f>MAX(0,'Deal Analyzer'!$B$4*(1+NORM.INV(RAND(),0,$J$4)))</f>
        <v/>
      </c>
      <c r="C446" s="12">
        <f>'Deal Analyzer'!$B$5*MAX(0.9,1+NORM.INV(RAND(),$J$5,$J$6))</f>
        <v/>
      </c>
      <c r="D446" s="12">
        <f>'Deal Analyzer'!$B$24+C446+B446*'Deal Analyzer'!$B$11</f>
        <v/>
      </c>
      <c r="E446" s="15">
        <f>IF(B446=0,0,(B446-D446)/B446)</f>
        <v/>
      </c>
      <c r="F446" s="2">
        <f>E446&gt;='Deal Analyzer'!$B$12</f>
        <v/>
      </c>
      <c r="G446" s="12">
        <f>IF(AND(F446,RAND()&lt;$J$7),'Deal Analyzer'!$B$8-'Deal Analyzer'!$B$10,-('Deal Analyzer'!$B$10+'Deal Analyzer'!$B$9*'Deal Analyzer'!$B$14))</f>
        <v/>
      </c>
      <c r="H446" s="2" t="n"/>
      <c r="I446" s="2" t="n"/>
      <c r="J446" s="2" t="n"/>
      <c r="K446" s="2" t="n"/>
    </row>
    <row r="447">
      <c r="A447" s="2" t="n">
        <v>436</v>
      </c>
      <c r="B447" s="12">
        <f>MAX(0,'Deal Analyzer'!$B$4*(1+NORM.INV(RAND(),0,$J$4)))</f>
        <v/>
      </c>
      <c r="C447" s="12">
        <f>'Deal Analyzer'!$B$5*MAX(0.9,1+NORM.INV(RAND(),$J$5,$J$6))</f>
        <v/>
      </c>
      <c r="D447" s="12">
        <f>'Deal Analyzer'!$B$24+C447+B447*'Deal Analyzer'!$B$11</f>
        <v/>
      </c>
      <c r="E447" s="15">
        <f>IF(B447=0,0,(B447-D447)/B447)</f>
        <v/>
      </c>
      <c r="F447" s="2">
        <f>E447&gt;='Deal Analyzer'!$B$12</f>
        <v/>
      </c>
      <c r="G447" s="12">
        <f>IF(AND(F447,RAND()&lt;$J$7),'Deal Analyzer'!$B$8-'Deal Analyzer'!$B$10,-('Deal Analyzer'!$B$10+'Deal Analyzer'!$B$9*'Deal Analyzer'!$B$14))</f>
        <v/>
      </c>
      <c r="H447" s="2" t="n"/>
      <c r="I447" s="2" t="n"/>
      <c r="J447" s="2" t="n"/>
      <c r="K447" s="2" t="n"/>
    </row>
    <row r="448">
      <c r="A448" s="2" t="n">
        <v>437</v>
      </c>
      <c r="B448" s="12">
        <f>MAX(0,'Deal Analyzer'!$B$4*(1+NORM.INV(RAND(),0,$J$4)))</f>
        <v/>
      </c>
      <c r="C448" s="12">
        <f>'Deal Analyzer'!$B$5*MAX(0.9,1+NORM.INV(RAND(),$J$5,$J$6))</f>
        <v/>
      </c>
      <c r="D448" s="12">
        <f>'Deal Analyzer'!$B$24+C448+B448*'Deal Analyzer'!$B$11</f>
        <v/>
      </c>
      <c r="E448" s="15">
        <f>IF(B448=0,0,(B448-D448)/B448)</f>
        <v/>
      </c>
      <c r="F448" s="2">
        <f>E448&gt;='Deal Analyzer'!$B$12</f>
        <v/>
      </c>
      <c r="G448" s="12">
        <f>IF(AND(F448,RAND()&lt;$J$7),'Deal Analyzer'!$B$8-'Deal Analyzer'!$B$10,-('Deal Analyzer'!$B$10+'Deal Analyzer'!$B$9*'Deal Analyzer'!$B$14))</f>
        <v/>
      </c>
      <c r="H448" s="2" t="n"/>
      <c r="I448" s="2" t="n"/>
      <c r="J448" s="2" t="n"/>
      <c r="K448" s="2" t="n"/>
    </row>
    <row r="449">
      <c r="A449" s="2" t="n">
        <v>438</v>
      </c>
      <c r="B449" s="12">
        <f>MAX(0,'Deal Analyzer'!$B$4*(1+NORM.INV(RAND(),0,$J$4)))</f>
        <v/>
      </c>
      <c r="C449" s="12">
        <f>'Deal Analyzer'!$B$5*MAX(0.9,1+NORM.INV(RAND(),$J$5,$J$6))</f>
        <v/>
      </c>
      <c r="D449" s="12">
        <f>'Deal Analyzer'!$B$24+C449+B449*'Deal Analyzer'!$B$11</f>
        <v/>
      </c>
      <c r="E449" s="15">
        <f>IF(B449=0,0,(B449-D449)/B449)</f>
        <v/>
      </c>
      <c r="F449" s="2">
        <f>E449&gt;='Deal Analyzer'!$B$12</f>
        <v/>
      </c>
      <c r="G449" s="12">
        <f>IF(AND(F449,RAND()&lt;$J$7),'Deal Analyzer'!$B$8-'Deal Analyzer'!$B$10,-('Deal Analyzer'!$B$10+'Deal Analyzer'!$B$9*'Deal Analyzer'!$B$14))</f>
        <v/>
      </c>
      <c r="H449" s="2" t="n"/>
      <c r="I449" s="2" t="n"/>
      <c r="J449" s="2" t="n"/>
      <c r="K449" s="2" t="n"/>
    </row>
    <row r="450">
      <c r="A450" s="2" t="n">
        <v>439</v>
      </c>
      <c r="B450" s="12">
        <f>MAX(0,'Deal Analyzer'!$B$4*(1+NORM.INV(RAND(),0,$J$4)))</f>
        <v/>
      </c>
      <c r="C450" s="12">
        <f>'Deal Analyzer'!$B$5*MAX(0.9,1+NORM.INV(RAND(),$J$5,$J$6))</f>
        <v/>
      </c>
      <c r="D450" s="12">
        <f>'Deal Analyzer'!$B$24+C450+B450*'Deal Analyzer'!$B$11</f>
        <v/>
      </c>
      <c r="E450" s="15">
        <f>IF(B450=0,0,(B450-D450)/B450)</f>
        <v/>
      </c>
      <c r="F450" s="2">
        <f>E450&gt;='Deal Analyzer'!$B$12</f>
        <v/>
      </c>
      <c r="G450" s="12">
        <f>IF(AND(F450,RAND()&lt;$J$7),'Deal Analyzer'!$B$8-'Deal Analyzer'!$B$10,-('Deal Analyzer'!$B$10+'Deal Analyzer'!$B$9*'Deal Analyzer'!$B$14))</f>
        <v/>
      </c>
      <c r="H450" s="2" t="n"/>
      <c r="I450" s="2" t="n"/>
      <c r="J450" s="2" t="n"/>
      <c r="K450" s="2" t="n"/>
    </row>
    <row r="451">
      <c r="A451" s="2" t="n">
        <v>440</v>
      </c>
      <c r="B451" s="12">
        <f>MAX(0,'Deal Analyzer'!$B$4*(1+NORM.INV(RAND(),0,$J$4)))</f>
        <v/>
      </c>
      <c r="C451" s="12">
        <f>'Deal Analyzer'!$B$5*MAX(0.9,1+NORM.INV(RAND(),$J$5,$J$6))</f>
        <v/>
      </c>
      <c r="D451" s="12">
        <f>'Deal Analyzer'!$B$24+C451+B451*'Deal Analyzer'!$B$11</f>
        <v/>
      </c>
      <c r="E451" s="15">
        <f>IF(B451=0,0,(B451-D451)/B451)</f>
        <v/>
      </c>
      <c r="F451" s="2">
        <f>E451&gt;='Deal Analyzer'!$B$12</f>
        <v/>
      </c>
      <c r="G451" s="12">
        <f>IF(AND(F451,RAND()&lt;$J$7),'Deal Analyzer'!$B$8-'Deal Analyzer'!$B$10,-('Deal Analyzer'!$B$10+'Deal Analyzer'!$B$9*'Deal Analyzer'!$B$14))</f>
        <v/>
      </c>
      <c r="H451" s="2" t="n"/>
      <c r="I451" s="2" t="n"/>
      <c r="J451" s="2" t="n"/>
      <c r="K451" s="2" t="n"/>
    </row>
    <row r="452">
      <c r="A452" s="2" t="n">
        <v>441</v>
      </c>
      <c r="B452" s="12">
        <f>MAX(0,'Deal Analyzer'!$B$4*(1+NORM.INV(RAND(),0,$J$4)))</f>
        <v/>
      </c>
      <c r="C452" s="12">
        <f>'Deal Analyzer'!$B$5*MAX(0.9,1+NORM.INV(RAND(),$J$5,$J$6))</f>
        <v/>
      </c>
      <c r="D452" s="12">
        <f>'Deal Analyzer'!$B$24+C452+B452*'Deal Analyzer'!$B$11</f>
        <v/>
      </c>
      <c r="E452" s="15">
        <f>IF(B452=0,0,(B452-D452)/B452)</f>
        <v/>
      </c>
      <c r="F452" s="2">
        <f>E452&gt;='Deal Analyzer'!$B$12</f>
        <v/>
      </c>
      <c r="G452" s="12">
        <f>IF(AND(F452,RAND()&lt;$J$7),'Deal Analyzer'!$B$8-'Deal Analyzer'!$B$10,-('Deal Analyzer'!$B$10+'Deal Analyzer'!$B$9*'Deal Analyzer'!$B$14))</f>
        <v/>
      </c>
      <c r="H452" s="2" t="n"/>
      <c r="I452" s="2" t="n"/>
      <c r="J452" s="2" t="n"/>
      <c r="K452" s="2" t="n"/>
    </row>
    <row r="453">
      <c r="A453" s="2" t="n">
        <v>442</v>
      </c>
      <c r="B453" s="12">
        <f>MAX(0,'Deal Analyzer'!$B$4*(1+NORM.INV(RAND(),0,$J$4)))</f>
        <v/>
      </c>
      <c r="C453" s="12">
        <f>'Deal Analyzer'!$B$5*MAX(0.9,1+NORM.INV(RAND(),$J$5,$J$6))</f>
        <v/>
      </c>
      <c r="D453" s="12">
        <f>'Deal Analyzer'!$B$24+C453+B453*'Deal Analyzer'!$B$11</f>
        <v/>
      </c>
      <c r="E453" s="15">
        <f>IF(B453=0,0,(B453-D453)/B453)</f>
        <v/>
      </c>
      <c r="F453" s="2">
        <f>E453&gt;='Deal Analyzer'!$B$12</f>
        <v/>
      </c>
      <c r="G453" s="12">
        <f>IF(AND(F453,RAND()&lt;$J$7),'Deal Analyzer'!$B$8-'Deal Analyzer'!$B$10,-('Deal Analyzer'!$B$10+'Deal Analyzer'!$B$9*'Deal Analyzer'!$B$14))</f>
        <v/>
      </c>
      <c r="H453" s="2" t="n"/>
      <c r="I453" s="2" t="n"/>
      <c r="J453" s="2" t="n"/>
      <c r="K453" s="2" t="n"/>
    </row>
    <row r="454">
      <c r="A454" s="2" t="n">
        <v>443</v>
      </c>
      <c r="B454" s="12">
        <f>MAX(0,'Deal Analyzer'!$B$4*(1+NORM.INV(RAND(),0,$J$4)))</f>
        <v/>
      </c>
      <c r="C454" s="12">
        <f>'Deal Analyzer'!$B$5*MAX(0.9,1+NORM.INV(RAND(),$J$5,$J$6))</f>
        <v/>
      </c>
      <c r="D454" s="12">
        <f>'Deal Analyzer'!$B$24+C454+B454*'Deal Analyzer'!$B$11</f>
        <v/>
      </c>
      <c r="E454" s="15">
        <f>IF(B454=0,0,(B454-D454)/B454)</f>
        <v/>
      </c>
      <c r="F454" s="2">
        <f>E454&gt;='Deal Analyzer'!$B$12</f>
        <v/>
      </c>
      <c r="G454" s="12">
        <f>IF(AND(F454,RAND()&lt;$J$7),'Deal Analyzer'!$B$8-'Deal Analyzer'!$B$10,-('Deal Analyzer'!$B$10+'Deal Analyzer'!$B$9*'Deal Analyzer'!$B$14))</f>
        <v/>
      </c>
      <c r="H454" s="2" t="n"/>
      <c r="I454" s="2" t="n"/>
      <c r="J454" s="2" t="n"/>
      <c r="K454" s="2" t="n"/>
    </row>
    <row r="455">
      <c r="A455" s="2" t="n">
        <v>444</v>
      </c>
      <c r="B455" s="12">
        <f>MAX(0,'Deal Analyzer'!$B$4*(1+NORM.INV(RAND(),0,$J$4)))</f>
        <v/>
      </c>
      <c r="C455" s="12">
        <f>'Deal Analyzer'!$B$5*MAX(0.9,1+NORM.INV(RAND(),$J$5,$J$6))</f>
        <v/>
      </c>
      <c r="D455" s="12">
        <f>'Deal Analyzer'!$B$24+C455+B455*'Deal Analyzer'!$B$11</f>
        <v/>
      </c>
      <c r="E455" s="15">
        <f>IF(B455=0,0,(B455-D455)/B455)</f>
        <v/>
      </c>
      <c r="F455" s="2">
        <f>E455&gt;='Deal Analyzer'!$B$12</f>
        <v/>
      </c>
      <c r="G455" s="12">
        <f>IF(AND(F455,RAND()&lt;$J$7),'Deal Analyzer'!$B$8-'Deal Analyzer'!$B$10,-('Deal Analyzer'!$B$10+'Deal Analyzer'!$B$9*'Deal Analyzer'!$B$14))</f>
        <v/>
      </c>
      <c r="H455" s="2" t="n"/>
      <c r="I455" s="2" t="n"/>
      <c r="J455" s="2" t="n"/>
      <c r="K455" s="2" t="n"/>
    </row>
    <row r="456">
      <c r="A456" s="2" t="n">
        <v>445</v>
      </c>
      <c r="B456" s="12">
        <f>MAX(0,'Deal Analyzer'!$B$4*(1+NORM.INV(RAND(),0,$J$4)))</f>
        <v/>
      </c>
      <c r="C456" s="12">
        <f>'Deal Analyzer'!$B$5*MAX(0.9,1+NORM.INV(RAND(),$J$5,$J$6))</f>
        <v/>
      </c>
      <c r="D456" s="12">
        <f>'Deal Analyzer'!$B$24+C456+B456*'Deal Analyzer'!$B$11</f>
        <v/>
      </c>
      <c r="E456" s="15">
        <f>IF(B456=0,0,(B456-D456)/B456)</f>
        <v/>
      </c>
      <c r="F456" s="2">
        <f>E456&gt;='Deal Analyzer'!$B$12</f>
        <v/>
      </c>
      <c r="G456" s="12">
        <f>IF(AND(F456,RAND()&lt;$J$7),'Deal Analyzer'!$B$8-'Deal Analyzer'!$B$10,-('Deal Analyzer'!$B$10+'Deal Analyzer'!$B$9*'Deal Analyzer'!$B$14))</f>
        <v/>
      </c>
      <c r="H456" s="2" t="n"/>
      <c r="I456" s="2" t="n"/>
      <c r="J456" s="2" t="n"/>
      <c r="K456" s="2" t="n"/>
    </row>
    <row r="457">
      <c r="A457" s="2" t="n">
        <v>446</v>
      </c>
      <c r="B457" s="12">
        <f>MAX(0,'Deal Analyzer'!$B$4*(1+NORM.INV(RAND(),0,$J$4)))</f>
        <v/>
      </c>
      <c r="C457" s="12">
        <f>'Deal Analyzer'!$B$5*MAX(0.9,1+NORM.INV(RAND(),$J$5,$J$6))</f>
        <v/>
      </c>
      <c r="D457" s="12">
        <f>'Deal Analyzer'!$B$24+C457+B457*'Deal Analyzer'!$B$11</f>
        <v/>
      </c>
      <c r="E457" s="15">
        <f>IF(B457=0,0,(B457-D457)/B457)</f>
        <v/>
      </c>
      <c r="F457" s="2">
        <f>E457&gt;='Deal Analyzer'!$B$12</f>
        <v/>
      </c>
      <c r="G457" s="12">
        <f>IF(AND(F457,RAND()&lt;$J$7),'Deal Analyzer'!$B$8-'Deal Analyzer'!$B$10,-('Deal Analyzer'!$B$10+'Deal Analyzer'!$B$9*'Deal Analyzer'!$B$14))</f>
        <v/>
      </c>
      <c r="H457" s="2" t="n"/>
      <c r="I457" s="2" t="n"/>
      <c r="J457" s="2" t="n"/>
      <c r="K457" s="2" t="n"/>
    </row>
    <row r="458">
      <c r="A458" s="2" t="n">
        <v>447</v>
      </c>
      <c r="B458" s="12">
        <f>MAX(0,'Deal Analyzer'!$B$4*(1+NORM.INV(RAND(),0,$J$4)))</f>
        <v/>
      </c>
      <c r="C458" s="12">
        <f>'Deal Analyzer'!$B$5*MAX(0.9,1+NORM.INV(RAND(),$J$5,$J$6))</f>
        <v/>
      </c>
      <c r="D458" s="12">
        <f>'Deal Analyzer'!$B$24+C458+B458*'Deal Analyzer'!$B$11</f>
        <v/>
      </c>
      <c r="E458" s="15">
        <f>IF(B458=0,0,(B458-D458)/B458)</f>
        <v/>
      </c>
      <c r="F458" s="2">
        <f>E458&gt;='Deal Analyzer'!$B$12</f>
        <v/>
      </c>
      <c r="G458" s="12">
        <f>IF(AND(F458,RAND()&lt;$J$7),'Deal Analyzer'!$B$8-'Deal Analyzer'!$B$10,-('Deal Analyzer'!$B$10+'Deal Analyzer'!$B$9*'Deal Analyzer'!$B$14))</f>
        <v/>
      </c>
      <c r="H458" s="2" t="n"/>
      <c r="I458" s="2" t="n"/>
      <c r="J458" s="2" t="n"/>
      <c r="K458" s="2" t="n"/>
    </row>
    <row r="459">
      <c r="A459" s="2" t="n">
        <v>448</v>
      </c>
      <c r="B459" s="12">
        <f>MAX(0,'Deal Analyzer'!$B$4*(1+NORM.INV(RAND(),0,$J$4)))</f>
        <v/>
      </c>
      <c r="C459" s="12">
        <f>'Deal Analyzer'!$B$5*MAX(0.9,1+NORM.INV(RAND(),$J$5,$J$6))</f>
        <v/>
      </c>
      <c r="D459" s="12">
        <f>'Deal Analyzer'!$B$24+C459+B459*'Deal Analyzer'!$B$11</f>
        <v/>
      </c>
      <c r="E459" s="15">
        <f>IF(B459=0,0,(B459-D459)/B459)</f>
        <v/>
      </c>
      <c r="F459" s="2">
        <f>E459&gt;='Deal Analyzer'!$B$12</f>
        <v/>
      </c>
      <c r="G459" s="12">
        <f>IF(AND(F459,RAND()&lt;$J$7),'Deal Analyzer'!$B$8-'Deal Analyzer'!$B$10,-('Deal Analyzer'!$B$10+'Deal Analyzer'!$B$9*'Deal Analyzer'!$B$14))</f>
        <v/>
      </c>
      <c r="H459" s="2" t="n"/>
      <c r="I459" s="2" t="n"/>
      <c r="J459" s="2" t="n"/>
      <c r="K459" s="2" t="n"/>
    </row>
    <row r="460">
      <c r="A460" s="2" t="n">
        <v>449</v>
      </c>
      <c r="B460" s="12">
        <f>MAX(0,'Deal Analyzer'!$B$4*(1+NORM.INV(RAND(),0,$J$4)))</f>
        <v/>
      </c>
      <c r="C460" s="12">
        <f>'Deal Analyzer'!$B$5*MAX(0.9,1+NORM.INV(RAND(),$J$5,$J$6))</f>
        <v/>
      </c>
      <c r="D460" s="12">
        <f>'Deal Analyzer'!$B$24+C460+B460*'Deal Analyzer'!$B$11</f>
        <v/>
      </c>
      <c r="E460" s="15">
        <f>IF(B460=0,0,(B460-D460)/B460)</f>
        <v/>
      </c>
      <c r="F460" s="2">
        <f>E460&gt;='Deal Analyzer'!$B$12</f>
        <v/>
      </c>
      <c r="G460" s="12">
        <f>IF(AND(F460,RAND()&lt;$J$7),'Deal Analyzer'!$B$8-'Deal Analyzer'!$B$10,-('Deal Analyzer'!$B$10+'Deal Analyzer'!$B$9*'Deal Analyzer'!$B$14))</f>
        <v/>
      </c>
      <c r="H460" s="2" t="n"/>
      <c r="I460" s="2" t="n"/>
      <c r="J460" s="2" t="n"/>
      <c r="K460" s="2" t="n"/>
    </row>
    <row r="461">
      <c r="A461" s="2" t="n">
        <v>450</v>
      </c>
      <c r="B461" s="12">
        <f>MAX(0,'Deal Analyzer'!$B$4*(1+NORM.INV(RAND(),0,$J$4)))</f>
        <v/>
      </c>
      <c r="C461" s="12">
        <f>'Deal Analyzer'!$B$5*MAX(0.9,1+NORM.INV(RAND(),$J$5,$J$6))</f>
        <v/>
      </c>
      <c r="D461" s="12">
        <f>'Deal Analyzer'!$B$24+C461+B461*'Deal Analyzer'!$B$11</f>
        <v/>
      </c>
      <c r="E461" s="15">
        <f>IF(B461=0,0,(B461-D461)/B461)</f>
        <v/>
      </c>
      <c r="F461" s="2">
        <f>E461&gt;='Deal Analyzer'!$B$12</f>
        <v/>
      </c>
      <c r="G461" s="12">
        <f>IF(AND(F461,RAND()&lt;$J$7),'Deal Analyzer'!$B$8-'Deal Analyzer'!$B$10,-('Deal Analyzer'!$B$10+'Deal Analyzer'!$B$9*'Deal Analyzer'!$B$14))</f>
        <v/>
      </c>
      <c r="H461" s="2" t="n"/>
      <c r="I461" s="2" t="n"/>
      <c r="J461" s="2" t="n"/>
      <c r="K461" s="2" t="n"/>
    </row>
    <row r="462">
      <c r="A462" s="2" t="n">
        <v>451</v>
      </c>
      <c r="B462" s="12">
        <f>MAX(0,'Deal Analyzer'!$B$4*(1+NORM.INV(RAND(),0,$J$4)))</f>
        <v/>
      </c>
      <c r="C462" s="12">
        <f>'Deal Analyzer'!$B$5*MAX(0.9,1+NORM.INV(RAND(),$J$5,$J$6))</f>
        <v/>
      </c>
      <c r="D462" s="12">
        <f>'Deal Analyzer'!$B$24+C462+B462*'Deal Analyzer'!$B$11</f>
        <v/>
      </c>
      <c r="E462" s="15">
        <f>IF(B462=0,0,(B462-D462)/B462)</f>
        <v/>
      </c>
      <c r="F462" s="2">
        <f>E462&gt;='Deal Analyzer'!$B$12</f>
        <v/>
      </c>
      <c r="G462" s="12">
        <f>IF(AND(F462,RAND()&lt;$J$7),'Deal Analyzer'!$B$8-'Deal Analyzer'!$B$10,-('Deal Analyzer'!$B$10+'Deal Analyzer'!$B$9*'Deal Analyzer'!$B$14))</f>
        <v/>
      </c>
      <c r="H462" s="2" t="n"/>
      <c r="I462" s="2" t="n"/>
      <c r="J462" s="2" t="n"/>
      <c r="K462" s="2" t="n"/>
    </row>
    <row r="463">
      <c r="A463" s="2" t="n">
        <v>452</v>
      </c>
      <c r="B463" s="12">
        <f>MAX(0,'Deal Analyzer'!$B$4*(1+NORM.INV(RAND(),0,$J$4)))</f>
        <v/>
      </c>
      <c r="C463" s="12">
        <f>'Deal Analyzer'!$B$5*MAX(0.9,1+NORM.INV(RAND(),$J$5,$J$6))</f>
        <v/>
      </c>
      <c r="D463" s="12">
        <f>'Deal Analyzer'!$B$24+C463+B463*'Deal Analyzer'!$B$11</f>
        <v/>
      </c>
      <c r="E463" s="15">
        <f>IF(B463=0,0,(B463-D463)/B463)</f>
        <v/>
      </c>
      <c r="F463" s="2">
        <f>E463&gt;='Deal Analyzer'!$B$12</f>
        <v/>
      </c>
      <c r="G463" s="12">
        <f>IF(AND(F463,RAND()&lt;$J$7),'Deal Analyzer'!$B$8-'Deal Analyzer'!$B$10,-('Deal Analyzer'!$B$10+'Deal Analyzer'!$B$9*'Deal Analyzer'!$B$14))</f>
        <v/>
      </c>
      <c r="H463" s="2" t="n"/>
      <c r="I463" s="2" t="n"/>
      <c r="J463" s="2" t="n"/>
      <c r="K463" s="2" t="n"/>
    </row>
    <row r="464">
      <c r="A464" s="2" t="n">
        <v>453</v>
      </c>
      <c r="B464" s="12">
        <f>MAX(0,'Deal Analyzer'!$B$4*(1+NORM.INV(RAND(),0,$J$4)))</f>
        <v/>
      </c>
      <c r="C464" s="12">
        <f>'Deal Analyzer'!$B$5*MAX(0.9,1+NORM.INV(RAND(),$J$5,$J$6))</f>
        <v/>
      </c>
      <c r="D464" s="12">
        <f>'Deal Analyzer'!$B$24+C464+B464*'Deal Analyzer'!$B$11</f>
        <v/>
      </c>
      <c r="E464" s="15">
        <f>IF(B464=0,0,(B464-D464)/B464)</f>
        <v/>
      </c>
      <c r="F464" s="2">
        <f>E464&gt;='Deal Analyzer'!$B$12</f>
        <v/>
      </c>
      <c r="G464" s="12">
        <f>IF(AND(F464,RAND()&lt;$J$7),'Deal Analyzer'!$B$8-'Deal Analyzer'!$B$10,-('Deal Analyzer'!$B$10+'Deal Analyzer'!$B$9*'Deal Analyzer'!$B$14))</f>
        <v/>
      </c>
      <c r="H464" s="2" t="n"/>
      <c r="I464" s="2" t="n"/>
      <c r="J464" s="2" t="n"/>
      <c r="K464" s="2" t="n"/>
    </row>
    <row r="465">
      <c r="A465" s="2" t="n">
        <v>454</v>
      </c>
      <c r="B465" s="12">
        <f>MAX(0,'Deal Analyzer'!$B$4*(1+NORM.INV(RAND(),0,$J$4)))</f>
        <v/>
      </c>
      <c r="C465" s="12">
        <f>'Deal Analyzer'!$B$5*MAX(0.9,1+NORM.INV(RAND(),$J$5,$J$6))</f>
        <v/>
      </c>
      <c r="D465" s="12">
        <f>'Deal Analyzer'!$B$24+C465+B465*'Deal Analyzer'!$B$11</f>
        <v/>
      </c>
      <c r="E465" s="15">
        <f>IF(B465=0,0,(B465-D465)/B465)</f>
        <v/>
      </c>
      <c r="F465" s="2">
        <f>E465&gt;='Deal Analyzer'!$B$12</f>
        <v/>
      </c>
      <c r="G465" s="12">
        <f>IF(AND(F465,RAND()&lt;$J$7),'Deal Analyzer'!$B$8-'Deal Analyzer'!$B$10,-('Deal Analyzer'!$B$10+'Deal Analyzer'!$B$9*'Deal Analyzer'!$B$14))</f>
        <v/>
      </c>
      <c r="H465" s="2" t="n"/>
      <c r="I465" s="2" t="n"/>
      <c r="J465" s="2" t="n"/>
      <c r="K465" s="2" t="n"/>
    </row>
    <row r="466">
      <c r="A466" s="2" t="n">
        <v>455</v>
      </c>
      <c r="B466" s="12">
        <f>MAX(0,'Deal Analyzer'!$B$4*(1+NORM.INV(RAND(),0,$J$4)))</f>
        <v/>
      </c>
      <c r="C466" s="12">
        <f>'Deal Analyzer'!$B$5*MAX(0.9,1+NORM.INV(RAND(),$J$5,$J$6))</f>
        <v/>
      </c>
      <c r="D466" s="12">
        <f>'Deal Analyzer'!$B$24+C466+B466*'Deal Analyzer'!$B$11</f>
        <v/>
      </c>
      <c r="E466" s="15">
        <f>IF(B466=0,0,(B466-D466)/B466)</f>
        <v/>
      </c>
      <c r="F466" s="2">
        <f>E466&gt;='Deal Analyzer'!$B$12</f>
        <v/>
      </c>
      <c r="G466" s="12">
        <f>IF(AND(F466,RAND()&lt;$J$7),'Deal Analyzer'!$B$8-'Deal Analyzer'!$B$10,-('Deal Analyzer'!$B$10+'Deal Analyzer'!$B$9*'Deal Analyzer'!$B$14))</f>
        <v/>
      </c>
      <c r="H466" s="2" t="n"/>
      <c r="I466" s="2" t="n"/>
      <c r="J466" s="2" t="n"/>
      <c r="K466" s="2" t="n"/>
    </row>
    <row r="467">
      <c r="A467" s="2" t="n">
        <v>456</v>
      </c>
      <c r="B467" s="12">
        <f>MAX(0,'Deal Analyzer'!$B$4*(1+NORM.INV(RAND(),0,$J$4)))</f>
        <v/>
      </c>
      <c r="C467" s="12">
        <f>'Deal Analyzer'!$B$5*MAX(0.9,1+NORM.INV(RAND(),$J$5,$J$6))</f>
        <v/>
      </c>
      <c r="D467" s="12">
        <f>'Deal Analyzer'!$B$24+C467+B467*'Deal Analyzer'!$B$11</f>
        <v/>
      </c>
      <c r="E467" s="15">
        <f>IF(B467=0,0,(B467-D467)/B467)</f>
        <v/>
      </c>
      <c r="F467" s="2">
        <f>E467&gt;='Deal Analyzer'!$B$12</f>
        <v/>
      </c>
      <c r="G467" s="12">
        <f>IF(AND(F467,RAND()&lt;$J$7),'Deal Analyzer'!$B$8-'Deal Analyzer'!$B$10,-('Deal Analyzer'!$B$10+'Deal Analyzer'!$B$9*'Deal Analyzer'!$B$14))</f>
        <v/>
      </c>
      <c r="H467" s="2" t="n"/>
      <c r="I467" s="2" t="n"/>
      <c r="J467" s="2" t="n"/>
      <c r="K467" s="2" t="n"/>
    </row>
    <row r="468">
      <c r="A468" s="2" t="n">
        <v>457</v>
      </c>
      <c r="B468" s="12">
        <f>MAX(0,'Deal Analyzer'!$B$4*(1+NORM.INV(RAND(),0,$J$4)))</f>
        <v/>
      </c>
      <c r="C468" s="12">
        <f>'Deal Analyzer'!$B$5*MAX(0.9,1+NORM.INV(RAND(),$J$5,$J$6))</f>
        <v/>
      </c>
      <c r="D468" s="12">
        <f>'Deal Analyzer'!$B$24+C468+B468*'Deal Analyzer'!$B$11</f>
        <v/>
      </c>
      <c r="E468" s="15">
        <f>IF(B468=0,0,(B468-D468)/B468)</f>
        <v/>
      </c>
      <c r="F468" s="2">
        <f>E468&gt;='Deal Analyzer'!$B$12</f>
        <v/>
      </c>
      <c r="G468" s="12">
        <f>IF(AND(F468,RAND()&lt;$J$7),'Deal Analyzer'!$B$8-'Deal Analyzer'!$B$10,-('Deal Analyzer'!$B$10+'Deal Analyzer'!$B$9*'Deal Analyzer'!$B$14))</f>
        <v/>
      </c>
      <c r="H468" s="2" t="n"/>
      <c r="I468" s="2" t="n"/>
      <c r="J468" s="2" t="n"/>
      <c r="K468" s="2" t="n"/>
    </row>
    <row r="469">
      <c r="A469" s="2" t="n">
        <v>458</v>
      </c>
      <c r="B469" s="12">
        <f>MAX(0,'Deal Analyzer'!$B$4*(1+NORM.INV(RAND(),0,$J$4)))</f>
        <v/>
      </c>
      <c r="C469" s="12">
        <f>'Deal Analyzer'!$B$5*MAX(0.9,1+NORM.INV(RAND(),$J$5,$J$6))</f>
        <v/>
      </c>
      <c r="D469" s="12">
        <f>'Deal Analyzer'!$B$24+C469+B469*'Deal Analyzer'!$B$11</f>
        <v/>
      </c>
      <c r="E469" s="15">
        <f>IF(B469=0,0,(B469-D469)/B469)</f>
        <v/>
      </c>
      <c r="F469" s="2">
        <f>E469&gt;='Deal Analyzer'!$B$12</f>
        <v/>
      </c>
      <c r="G469" s="12">
        <f>IF(AND(F469,RAND()&lt;$J$7),'Deal Analyzer'!$B$8-'Deal Analyzer'!$B$10,-('Deal Analyzer'!$B$10+'Deal Analyzer'!$B$9*'Deal Analyzer'!$B$14))</f>
        <v/>
      </c>
      <c r="H469" s="2" t="n"/>
      <c r="I469" s="2" t="n"/>
      <c r="J469" s="2" t="n"/>
      <c r="K469" s="2" t="n"/>
    </row>
    <row r="470">
      <c r="A470" s="2" t="n">
        <v>459</v>
      </c>
      <c r="B470" s="12">
        <f>MAX(0,'Deal Analyzer'!$B$4*(1+NORM.INV(RAND(),0,$J$4)))</f>
        <v/>
      </c>
      <c r="C470" s="12">
        <f>'Deal Analyzer'!$B$5*MAX(0.9,1+NORM.INV(RAND(),$J$5,$J$6))</f>
        <v/>
      </c>
      <c r="D470" s="12">
        <f>'Deal Analyzer'!$B$24+C470+B470*'Deal Analyzer'!$B$11</f>
        <v/>
      </c>
      <c r="E470" s="15">
        <f>IF(B470=0,0,(B470-D470)/B470)</f>
        <v/>
      </c>
      <c r="F470" s="2">
        <f>E470&gt;='Deal Analyzer'!$B$12</f>
        <v/>
      </c>
      <c r="G470" s="12">
        <f>IF(AND(F470,RAND()&lt;$J$7),'Deal Analyzer'!$B$8-'Deal Analyzer'!$B$10,-('Deal Analyzer'!$B$10+'Deal Analyzer'!$B$9*'Deal Analyzer'!$B$14))</f>
        <v/>
      </c>
      <c r="H470" s="2" t="n"/>
      <c r="I470" s="2" t="n"/>
      <c r="J470" s="2" t="n"/>
      <c r="K470" s="2" t="n"/>
    </row>
    <row r="471">
      <c r="A471" s="2" t="n">
        <v>460</v>
      </c>
      <c r="B471" s="12">
        <f>MAX(0,'Deal Analyzer'!$B$4*(1+NORM.INV(RAND(),0,$J$4)))</f>
        <v/>
      </c>
      <c r="C471" s="12">
        <f>'Deal Analyzer'!$B$5*MAX(0.9,1+NORM.INV(RAND(),$J$5,$J$6))</f>
        <v/>
      </c>
      <c r="D471" s="12">
        <f>'Deal Analyzer'!$B$24+C471+B471*'Deal Analyzer'!$B$11</f>
        <v/>
      </c>
      <c r="E471" s="15">
        <f>IF(B471=0,0,(B471-D471)/B471)</f>
        <v/>
      </c>
      <c r="F471" s="2">
        <f>E471&gt;='Deal Analyzer'!$B$12</f>
        <v/>
      </c>
      <c r="G471" s="12">
        <f>IF(AND(F471,RAND()&lt;$J$7),'Deal Analyzer'!$B$8-'Deal Analyzer'!$B$10,-('Deal Analyzer'!$B$10+'Deal Analyzer'!$B$9*'Deal Analyzer'!$B$14))</f>
        <v/>
      </c>
      <c r="H471" s="2" t="n"/>
      <c r="I471" s="2" t="n"/>
      <c r="J471" s="2" t="n"/>
      <c r="K471" s="2" t="n"/>
    </row>
    <row r="472">
      <c r="A472" s="2" t="n">
        <v>461</v>
      </c>
      <c r="B472" s="12">
        <f>MAX(0,'Deal Analyzer'!$B$4*(1+NORM.INV(RAND(),0,$J$4)))</f>
        <v/>
      </c>
      <c r="C472" s="12">
        <f>'Deal Analyzer'!$B$5*MAX(0.9,1+NORM.INV(RAND(),$J$5,$J$6))</f>
        <v/>
      </c>
      <c r="D472" s="12">
        <f>'Deal Analyzer'!$B$24+C472+B472*'Deal Analyzer'!$B$11</f>
        <v/>
      </c>
      <c r="E472" s="15">
        <f>IF(B472=0,0,(B472-D472)/B472)</f>
        <v/>
      </c>
      <c r="F472" s="2">
        <f>E472&gt;='Deal Analyzer'!$B$12</f>
        <v/>
      </c>
      <c r="G472" s="12">
        <f>IF(AND(F472,RAND()&lt;$J$7),'Deal Analyzer'!$B$8-'Deal Analyzer'!$B$10,-('Deal Analyzer'!$B$10+'Deal Analyzer'!$B$9*'Deal Analyzer'!$B$14))</f>
        <v/>
      </c>
      <c r="H472" s="2" t="n"/>
      <c r="I472" s="2" t="n"/>
      <c r="J472" s="2" t="n"/>
      <c r="K472" s="2" t="n"/>
    </row>
    <row r="473">
      <c r="A473" s="2" t="n">
        <v>462</v>
      </c>
      <c r="B473" s="12">
        <f>MAX(0,'Deal Analyzer'!$B$4*(1+NORM.INV(RAND(),0,$J$4)))</f>
        <v/>
      </c>
      <c r="C473" s="12">
        <f>'Deal Analyzer'!$B$5*MAX(0.9,1+NORM.INV(RAND(),$J$5,$J$6))</f>
        <v/>
      </c>
      <c r="D473" s="12">
        <f>'Deal Analyzer'!$B$24+C473+B473*'Deal Analyzer'!$B$11</f>
        <v/>
      </c>
      <c r="E473" s="15">
        <f>IF(B473=0,0,(B473-D473)/B473)</f>
        <v/>
      </c>
      <c r="F473" s="2">
        <f>E473&gt;='Deal Analyzer'!$B$12</f>
        <v/>
      </c>
      <c r="G473" s="12">
        <f>IF(AND(F473,RAND()&lt;$J$7),'Deal Analyzer'!$B$8-'Deal Analyzer'!$B$10,-('Deal Analyzer'!$B$10+'Deal Analyzer'!$B$9*'Deal Analyzer'!$B$14))</f>
        <v/>
      </c>
      <c r="H473" s="2" t="n"/>
      <c r="I473" s="2" t="n"/>
      <c r="J473" s="2" t="n"/>
      <c r="K473" s="2" t="n"/>
    </row>
    <row r="474">
      <c r="A474" s="2" t="n">
        <v>463</v>
      </c>
      <c r="B474" s="12">
        <f>MAX(0,'Deal Analyzer'!$B$4*(1+NORM.INV(RAND(),0,$J$4)))</f>
        <v/>
      </c>
      <c r="C474" s="12">
        <f>'Deal Analyzer'!$B$5*MAX(0.9,1+NORM.INV(RAND(),$J$5,$J$6))</f>
        <v/>
      </c>
      <c r="D474" s="12">
        <f>'Deal Analyzer'!$B$24+C474+B474*'Deal Analyzer'!$B$11</f>
        <v/>
      </c>
      <c r="E474" s="15">
        <f>IF(B474=0,0,(B474-D474)/B474)</f>
        <v/>
      </c>
      <c r="F474" s="2">
        <f>E474&gt;='Deal Analyzer'!$B$12</f>
        <v/>
      </c>
      <c r="G474" s="12">
        <f>IF(AND(F474,RAND()&lt;$J$7),'Deal Analyzer'!$B$8-'Deal Analyzer'!$B$10,-('Deal Analyzer'!$B$10+'Deal Analyzer'!$B$9*'Deal Analyzer'!$B$14))</f>
        <v/>
      </c>
      <c r="H474" s="2" t="n"/>
      <c r="I474" s="2" t="n"/>
      <c r="J474" s="2" t="n"/>
      <c r="K474" s="2" t="n"/>
    </row>
    <row r="475">
      <c r="A475" s="2" t="n">
        <v>464</v>
      </c>
      <c r="B475" s="12">
        <f>MAX(0,'Deal Analyzer'!$B$4*(1+NORM.INV(RAND(),0,$J$4)))</f>
        <v/>
      </c>
      <c r="C475" s="12">
        <f>'Deal Analyzer'!$B$5*MAX(0.9,1+NORM.INV(RAND(),$J$5,$J$6))</f>
        <v/>
      </c>
      <c r="D475" s="12">
        <f>'Deal Analyzer'!$B$24+C475+B475*'Deal Analyzer'!$B$11</f>
        <v/>
      </c>
      <c r="E475" s="15">
        <f>IF(B475=0,0,(B475-D475)/B475)</f>
        <v/>
      </c>
      <c r="F475" s="2">
        <f>E475&gt;='Deal Analyzer'!$B$12</f>
        <v/>
      </c>
      <c r="G475" s="12">
        <f>IF(AND(F475,RAND()&lt;$J$7),'Deal Analyzer'!$B$8-'Deal Analyzer'!$B$10,-('Deal Analyzer'!$B$10+'Deal Analyzer'!$B$9*'Deal Analyzer'!$B$14))</f>
        <v/>
      </c>
      <c r="H475" s="2" t="n"/>
      <c r="I475" s="2" t="n"/>
      <c r="J475" s="2" t="n"/>
      <c r="K475" s="2" t="n"/>
    </row>
    <row r="476">
      <c r="A476" s="2" t="n">
        <v>465</v>
      </c>
      <c r="B476" s="12">
        <f>MAX(0,'Deal Analyzer'!$B$4*(1+NORM.INV(RAND(),0,$J$4)))</f>
        <v/>
      </c>
      <c r="C476" s="12">
        <f>'Deal Analyzer'!$B$5*MAX(0.9,1+NORM.INV(RAND(),$J$5,$J$6))</f>
        <v/>
      </c>
      <c r="D476" s="12">
        <f>'Deal Analyzer'!$B$24+C476+B476*'Deal Analyzer'!$B$11</f>
        <v/>
      </c>
      <c r="E476" s="15">
        <f>IF(B476=0,0,(B476-D476)/B476)</f>
        <v/>
      </c>
      <c r="F476" s="2">
        <f>E476&gt;='Deal Analyzer'!$B$12</f>
        <v/>
      </c>
      <c r="G476" s="12">
        <f>IF(AND(F476,RAND()&lt;$J$7),'Deal Analyzer'!$B$8-'Deal Analyzer'!$B$10,-('Deal Analyzer'!$B$10+'Deal Analyzer'!$B$9*'Deal Analyzer'!$B$14))</f>
        <v/>
      </c>
      <c r="H476" s="2" t="n"/>
      <c r="I476" s="2" t="n"/>
      <c r="J476" s="2" t="n"/>
      <c r="K476" s="2" t="n"/>
    </row>
    <row r="477">
      <c r="A477" s="2" t="n">
        <v>466</v>
      </c>
      <c r="B477" s="12">
        <f>MAX(0,'Deal Analyzer'!$B$4*(1+NORM.INV(RAND(),0,$J$4)))</f>
        <v/>
      </c>
      <c r="C477" s="12">
        <f>'Deal Analyzer'!$B$5*MAX(0.9,1+NORM.INV(RAND(),$J$5,$J$6))</f>
        <v/>
      </c>
      <c r="D477" s="12">
        <f>'Deal Analyzer'!$B$24+C477+B477*'Deal Analyzer'!$B$11</f>
        <v/>
      </c>
      <c r="E477" s="15">
        <f>IF(B477=0,0,(B477-D477)/B477)</f>
        <v/>
      </c>
      <c r="F477" s="2">
        <f>E477&gt;='Deal Analyzer'!$B$12</f>
        <v/>
      </c>
      <c r="G477" s="12">
        <f>IF(AND(F477,RAND()&lt;$J$7),'Deal Analyzer'!$B$8-'Deal Analyzer'!$B$10,-('Deal Analyzer'!$B$10+'Deal Analyzer'!$B$9*'Deal Analyzer'!$B$14))</f>
        <v/>
      </c>
      <c r="H477" s="2" t="n"/>
      <c r="I477" s="2" t="n"/>
      <c r="J477" s="2" t="n"/>
      <c r="K477" s="2" t="n"/>
    </row>
    <row r="478">
      <c r="A478" s="2" t="n">
        <v>467</v>
      </c>
      <c r="B478" s="12">
        <f>MAX(0,'Deal Analyzer'!$B$4*(1+NORM.INV(RAND(),0,$J$4)))</f>
        <v/>
      </c>
      <c r="C478" s="12">
        <f>'Deal Analyzer'!$B$5*MAX(0.9,1+NORM.INV(RAND(),$J$5,$J$6))</f>
        <v/>
      </c>
      <c r="D478" s="12">
        <f>'Deal Analyzer'!$B$24+C478+B478*'Deal Analyzer'!$B$11</f>
        <v/>
      </c>
      <c r="E478" s="15">
        <f>IF(B478=0,0,(B478-D478)/B478)</f>
        <v/>
      </c>
      <c r="F478" s="2">
        <f>E478&gt;='Deal Analyzer'!$B$12</f>
        <v/>
      </c>
      <c r="G478" s="12">
        <f>IF(AND(F478,RAND()&lt;$J$7),'Deal Analyzer'!$B$8-'Deal Analyzer'!$B$10,-('Deal Analyzer'!$B$10+'Deal Analyzer'!$B$9*'Deal Analyzer'!$B$14))</f>
        <v/>
      </c>
      <c r="H478" s="2" t="n"/>
      <c r="I478" s="2" t="n"/>
      <c r="J478" s="2" t="n"/>
      <c r="K478" s="2" t="n"/>
    </row>
    <row r="479">
      <c r="A479" s="2" t="n">
        <v>468</v>
      </c>
      <c r="B479" s="12">
        <f>MAX(0,'Deal Analyzer'!$B$4*(1+NORM.INV(RAND(),0,$J$4)))</f>
        <v/>
      </c>
      <c r="C479" s="12">
        <f>'Deal Analyzer'!$B$5*MAX(0.9,1+NORM.INV(RAND(),$J$5,$J$6))</f>
        <v/>
      </c>
      <c r="D479" s="12">
        <f>'Deal Analyzer'!$B$24+C479+B479*'Deal Analyzer'!$B$11</f>
        <v/>
      </c>
      <c r="E479" s="15">
        <f>IF(B479=0,0,(B479-D479)/B479)</f>
        <v/>
      </c>
      <c r="F479" s="2">
        <f>E479&gt;='Deal Analyzer'!$B$12</f>
        <v/>
      </c>
      <c r="G479" s="12">
        <f>IF(AND(F479,RAND()&lt;$J$7),'Deal Analyzer'!$B$8-'Deal Analyzer'!$B$10,-('Deal Analyzer'!$B$10+'Deal Analyzer'!$B$9*'Deal Analyzer'!$B$14))</f>
        <v/>
      </c>
      <c r="H479" s="2" t="n"/>
      <c r="I479" s="2" t="n"/>
      <c r="J479" s="2" t="n"/>
      <c r="K479" s="2" t="n"/>
    </row>
    <row r="480">
      <c r="A480" s="2" t="n">
        <v>469</v>
      </c>
      <c r="B480" s="12">
        <f>MAX(0,'Deal Analyzer'!$B$4*(1+NORM.INV(RAND(),0,$J$4)))</f>
        <v/>
      </c>
      <c r="C480" s="12">
        <f>'Deal Analyzer'!$B$5*MAX(0.9,1+NORM.INV(RAND(),$J$5,$J$6))</f>
        <v/>
      </c>
      <c r="D480" s="12">
        <f>'Deal Analyzer'!$B$24+C480+B480*'Deal Analyzer'!$B$11</f>
        <v/>
      </c>
      <c r="E480" s="15">
        <f>IF(B480=0,0,(B480-D480)/B480)</f>
        <v/>
      </c>
      <c r="F480" s="2">
        <f>E480&gt;='Deal Analyzer'!$B$12</f>
        <v/>
      </c>
      <c r="G480" s="12">
        <f>IF(AND(F480,RAND()&lt;$J$7),'Deal Analyzer'!$B$8-'Deal Analyzer'!$B$10,-('Deal Analyzer'!$B$10+'Deal Analyzer'!$B$9*'Deal Analyzer'!$B$14))</f>
        <v/>
      </c>
      <c r="H480" s="2" t="n"/>
      <c r="I480" s="2" t="n"/>
      <c r="J480" s="2" t="n"/>
      <c r="K480" s="2" t="n"/>
    </row>
    <row r="481">
      <c r="A481" s="2" t="n">
        <v>470</v>
      </c>
      <c r="B481" s="12">
        <f>MAX(0,'Deal Analyzer'!$B$4*(1+NORM.INV(RAND(),0,$J$4)))</f>
        <v/>
      </c>
      <c r="C481" s="12">
        <f>'Deal Analyzer'!$B$5*MAX(0.9,1+NORM.INV(RAND(),$J$5,$J$6))</f>
        <v/>
      </c>
      <c r="D481" s="12">
        <f>'Deal Analyzer'!$B$24+C481+B481*'Deal Analyzer'!$B$11</f>
        <v/>
      </c>
      <c r="E481" s="15">
        <f>IF(B481=0,0,(B481-D481)/B481)</f>
        <v/>
      </c>
      <c r="F481" s="2">
        <f>E481&gt;='Deal Analyzer'!$B$12</f>
        <v/>
      </c>
      <c r="G481" s="12">
        <f>IF(AND(F481,RAND()&lt;$J$7),'Deal Analyzer'!$B$8-'Deal Analyzer'!$B$10,-('Deal Analyzer'!$B$10+'Deal Analyzer'!$B$9*'Deal Analyzer'!$B$14))</f>
        <v/>
      </c>
      <c r="H481" s="2" t="n"/>
      <c r="I481" s="2" t="n"/>
      <c r="J481" s="2" t="n"/>
      <c r="K481" s="2" t="n"/>
    </row>
    <row r="482">
      <c r="A482" s="2" t="n">
        <v>471</v>
      </c>
      <c r="B482" s="12">
        <f>MAX(0,'Deal Analyzer'!$B$4*(1+NORM.INV(RAND(),0,$J$4)))</f>
        <v/>
      </c>
      <c r="C482" s="12">
        <f>'Deal Analyzer'!$B$5*MAX(0.9,1+NORM.INV(RAND(),$J$5,$J$6))</f>
        <v/>
      </c>
      <c r="D482" s="12">
        <f>'Deal Analyzer'!$B$24+C482+B482*'Deal Analyzer'!$B$11</f>
        <v/>
      </c>
      <c r="E482" s="15">
        <f>IF(B482=0,0,(B482-D482)/B482)</f>
        <v/>
      </c>
      <c r="F482" s="2">
        <f>E482&gt;='Deal Analyzer'!$B$12</f>
        <v/>
      </c>
      <c r="G482" s="12">
        <f>IF(AND(F482,RAND()&lt;$J$7),'Deal Analyzer'!$B$8-'Deal Analyzer'!$B$10,-('Deal Analyzer'!$B$10+'Deal Analyzer'!$B$9*'Deal Analyzer'!$B$14))</f>
        <v/>
      </c>
      <c r="H482" s="2" t="n"/>
      <c r="I482" s="2" t="n"/>
      <c r="J482" s="2" t="n"/>
      <c r="K482" s="2" t="n"/>
    </row>
    <row r="483">
      <c r="A483" s="2" t="n">
        <v>472</v>
      </c>
      <c r="B483" s="12">
        <f>MAX(0,'Deal Analyzer'!$B$4*(1+NORM.INV(RAND(),0,$J$4)))</f>
        <v/>
      </c>
      <c r="C483" s="12">
        <f>'Deal Analyzer'!$B$5*MAX(0.9,1+NORM.INV(RAND(),$J$5,$J$6))</f>
        <v/>
      </c>
      <c r="D483" s="12">
        <f>'Deal Analyzer'!$B$24+C483+B483*'Deal Analyzer'!$B$11</f>
        <v/>
      </c>
      <c r="E483" s="15">
        <f>IF(B483=0,0,(B483-D483)/B483)</f>
        <v/>
      </c>
      <c r="F483" s="2">
        <f>E483&gt;='Deal Analyzer'!$B$12</f>
        <v/>
      </c>
      <c r="G483" s="12">
        <f>IF(AND(F483,RAND()&lt;$J$7),'Deal Analyzer'!$B$8-'Deal Analyzer'!$B$10,-('Deal Analyzer'!$B$10+'Deal Analyzer'!$B$9*'Deal Analyzer'!$B$14))</f>
        <v/>
      </c>
      <c r="H483" s="2" t="n"/>
      <c r="I483" s="2" t="n"/>
      <c r="J483" s="2" t="n"/>
      <c r="K483" s="2" t="n"/>
    </row>
    <row r="484">
      <c r="A484" s="2" t="n">
        <v>473</v>
      </c>
      <c r="B484" s="12">
        <f>MAX(0,'Deal Analyzer'!$B$4*(1+NORM.INV(RAND(),0,$J$4)))</f>
        <v/>
      </c>
      <c r="C484" s="12">
        <f>'Deal Analyzer'!$B$5*MAX(0.9,1+NORM.INV(RAND(),$J$5,$J$6))</f>
        <v/>
      </c>
      <c r="D484" s="12">
        <f>'Deal Analyzer'!$B$24+C484+B484*'Deal Analyzer'!$B$11</f>
        <v/>
      </c>
      <c r="E484" s="15">
        <f>IF(B484=0,0,(B484-D484)/B484)</f>
        <v/>
      </c>
      <c r="F484" s="2">
        <f>E484&gt;='Deal Analyzer'!$B$12</f>
        <v/>
      </c>
      <c r="G484" s="12">
        <f>IF(AND(F484,RAND()&lt;$J$7),'Deal Analyzer'!$B$8-'Deal Analyzer'!$B$10,-('Deal Analyzer'!$B$10+'Deal Analyzer'!$B$9*'Deal Analyzer'!$B$14))</f>
        <v/>
      </c>
      <c r="H484" s="2" t="n"/>
      <c r="I484" s="2" t="n"/>
      <c r="J484" s="2" t="n"/>
      <c r="K484" s="2" t="n"/>
    </row>
    <row r="485">
      <c r="A485" s="2" t="n">
        <v>474</v>
      </c>
      <c r="B485" s="12">
        <f>MAX(0,'Deal Analyzer'!$B$4*(1+NORM.INV(RAND(),0,$J$4)))</f>
        <v/>
      </c>
      <c r="C485" s="12">
        <f>'Deal Analyzer'!$B$5*MAX(0.9,1+NORM.INV(RAND(),$J$5,$J$6))</f>
        <v/>
      </c>
      <c r="D485" s="12">
        <f>'Deal Analyzer'!$B$24+C485+B485*'Deal Analyzer'!$B$11</f>
        <v/>
      </c>
      <c r="E485" s="15">
        <f>IF(B485=0,0,(B485-D485)/B485)</f>
        <v/>
      </c>
      <c r="F485" s="2">
        <f>E485&gt;='Deal Analyzer'!$B$12</f>
        <v/>
      </c>
      <c r="G485" s="12">
        <f>IF(AND(F485,RAND()&lt;$J$7),'Deal Analyzer'!$B$8-'Deal Analyzer'!$B$10,-('Deal Analyzer'!$B$10+'Deal Analyzer'!$B$9*'Deal Analyzer'!$B$14))</f>
        <v/>
      </c>
      <c r="H485" s="2" t="n"/>
      <c r="I485" s="2" t="n"/>
      <c r="J485" s="2" t="n"/>
      <c r="K485" s="2" t="n"/>
    </row>
    <row r="486">
      <c r="A486" s="2" t="n">
        <v>475</v>
      </c>
      <c r="B486" s="12">
        <f>MAX(0,'Deal Analyzer'!$B$4*(1+NORM.INV(RAND(),0,$J$4)))</f>
        <v/>
      </c>
      <c r="C486" s="12">
        <f>'Deal Analyzer'!$B$5*MAX(0.9,1+NORM.INV(RAND(),$J$5,$J$6))</f>
        <v/>
      </c>
      <c r="D486" s="12">
        <f>'Deal Analyzer'!$B$24+C486+B486*'Deal Analyzer'!$B$11</f>
        <v/>
      </c>
      <c r="E486" s="15">
        <f>IF(B486=0,0,(B486-D486)/B486)</f>
        <v/>
      </c>
      <c r="F486" s="2">
        <f>E486&gt;='Deal Analyzer'!$B$12</f>
        <v/>
      </c>
      <c r="G486" s="12">
        <f>IF(AND(F486,RAND()&lt;$J$7),'Deal Analyzer'!$B$8-'Deal Analyzer'!$B$10,-('Deal Analyzer'!$B$10+'Deal Analyzer'!$B$9*'Deal Analyzer'!$B$14))</f>
        <v/>
      </c>
      <c r="H486" s="2" t="n"/>
      <c r="I486" s="2" t="n"/>
      <c r="J486" s="2" t="n"/>
      <c r="K486" s="2" t="n"/>
    </row>
    <row r="487">
      <c r="A487" s="2" t="n">
        <v>476</v>
      </c>
      <c r="B487" s="12">
        <f>MAX(0,'Deal Analyzer'!$B$4*(1+NORM.INV(RAND(),0,$J$4)))</f>
        <v/>
      </c>
      <c r="C487" s="12">
        <f>'Deal Analyzer'!$B$5*MAX(0.9,1+NORM.INV(RAND(),$J$5,$J$6))</f>
        <v/>
      </c>
      <c r="D487" s="12">
        <f>'Deal Analyzer'!$B$24+C487+B487*'Deal Analyzer'!$B$11</f>
        <v/>
      </c>
      <c r="E487" s="15">
        <f>IF(B487=0,0,(B487-D487)/B487)</f>
        <v/>
      </c>
      <c r="F487" s="2">
        <f>E487&gt;='Deal Analyzer'!$B$12</f>
        <v/>
      </c>
      <c r="G487" s="12">
        <f>IF(AND(F487,RAND()&lt;$J$7),'Deal Analyzer'!$B$8-'Deal Analyzer'!$B$10,-('Deal Analyzer'!$B$10+'Deal Analyzer'!$B$9*'Deal Analyzer'!$B$14))</f>
        <v/>
      </c>
      <c r="H487" s="2" t="n"/>
      <c r="I487" s="2" t="n"/>
      <c r="J487" s="2" t="n"/>
      <c r="K487" s="2" t="n"/>
    </row>
    <row r="488">
      <c r="A488" s="2" t="n">
        <v>477</v>
      </c>
      <c r="B488" s="12">
        <f>MAX(0,'Deal Analyzer'!$B$4*(1+NORM.INV(RAND(),0,$J$4)))</f>
        <v/>
      </c>
      <c r="C488" s="12">
        <f>'Deal Analyzer'!$B$5*MAX(0.9,1+NORM.INV(RAND(),$J$5,$J$6))</f>
        <v/>
      </c>
      <c r="D488" s="12">
        <f>'Deal Analyzer'!$B$24+C488+B488*'Deal Analyzer'!$B$11</f>
        <v/>
      </c>
      <c r="E488" s="15">
        <f>IF(B488=0,0,(B488-D488)/B488)</f>
        <v/>
      </c>
      <c r="F488" s="2">
        <f>E488&gt;='Deal Analyzer'!$B$12</f>
        <v/>
      </c>
      <c r="G488" s="12">
        <f>IF(AND(F488,RAND()&lt;$J$7),'Deal Analyzer'!$B$8-'Deal Analyzer'!$B$10,-('Deal Analyzer'!$B$10+'Deal Analyzer'!$B$9*'Deal Analyzer'!$B$14))</f>
        <v/>
      </c>
      <c r="H488" s="2" t="n"/>
      <c r="I488" s="2" t="n"/>
      <c r="J488" s="2" t="n"/>
      <c r="K488" s="2" t="n"/>
    </row>
    <row r="489">
      <c r="A489" s="2" t="n">
        <v>478</v>
      </c>
      <c r="B489" s="12">
        <f>MAX(0,'Deal Analyzer'!$B$4*(1+NORM.INV(RAND(),0,$J$4)))</f>
        <v/>
      </c>
      <c r="C489" s="12">
        <f>'Deal Analyzer'!$B$5*MAX(0.9,1+NORM.INV(RAND(),$J$5,$J$6))</f>
        <v/>
      </c>
      <c r="D489" s="12">
        <f>'Deal Analyzer'!$B$24+C489+B489*'Deal Analyzer'!$B$11</f>
        <v/>
      </c>
      <c r="E489" s="15">
        <f>IF(B489=0,0,(B489-D489)/B489)</f>
        <v/>
      </c>
      <c r="F489" s="2">
        <f>E489&gt;='Deal Analyzer'!$B$12</f>
        <v/>
      </c>
      <c r="G489" s="12">
        <f>IF(AND(F489,RAND()&lt;$J$7),'Deal Analyzer'!$B$8-'Deal Analyzer'!$B$10,-('Deal Analyzer'!$B$10+'Deal Analyzer'!$B$9*'Deal Analyzer'!$B$14))</f>
        <v/>
      </c>
      <c r="H489" s="2" t="n"/>
      <c r="I489" s="2" t="n"/>
      <c r="J489" s="2" t="n"/>
      <c r="K489" s="2" t="n"/>
    </row>
    <row r="490">
      <c r="A490" s="2" t="n">
        <v>479</v>
      </c>
      <c r="B490" s="12">
        <f>MAX(0,'Deal Analyzer'!$B$4*(1+NORM.INV(RAND(),0,$J$4)))</f>
        <v/>
      </c>
      <c r="C490" s="12">
        <f>'Deal Analyzer'!$B$5*MAX(0.9,1+NORM.INV(RAND(),$J$5,$J$6))</f>
        <v/>
      </c>
      <c r="D490" s="12">
        <f>'Deal Analyzer'!$B$24+C490+B490*'Deal Analyzer'!$B$11</f>
        <v/>
      </c>
      <c r="E490" s="15">
        <f>IF(B490=0,0,(B490-D490)/B490)</f>
        <v/>
      </c>
      <c r="F490" s="2">
        <f>E490&gt;='Deal Analyzer'!$B$12</f>
        <v/>
      </c>
      <c r="G490" s="12">
        <f>IF(AND(F490,RAND()&lt;$J$7),'Deal Analyzer'!$B$8-'Deal Analyzer'!$B$10,-('Deal Analyzer'!$B$10+'Deal Analyzer'!$B$9*'Deal Analyzer'!$B$14))</f>
        <v/>
      </c>
      <c r="H490" s="2" t="n"/>
      <c r="I490" s="2" t="n"/>
      <c r="J490" s="2" t="n"/>
      <c r="K490" s="2" t="n"/>
    </row>
    <row r="491">
      <c r="A491" s="2" t="n">
        <v>480</v>
      </c>
      <c r="B491" s="12">
        <f>MAX(0,'Deal Analyzer'!$B$4*(1+NORM.INV(RAND(),0,$J$4)))</f>
        <v/>
      </c>
      <c r="C491" s="12">
        <f>'Deal Analyzer'!$B$5*MAX(0.9,1+NORM.INV(RAND(),$J$5,$J$6))</f>
        <v/>
      </c>
      <c r="D491" s="12">
        <f>'Deal Analyzer'!$B$24+C491+B491*'Deal Analyzer'!$B$11</f>
        <v/>
      </c>
      <c r="E491" s="15">
        <f>IF(B491=0,0,(B491-D491)/B491)</f>
        <v/>
      </c>
      <c r="F491" s="2">
        <f>E491&gt;='Deal Analyzer'!$B$12</f>
        <v/>
      </c>
      <c r="G491" s="12">
        <f>IF(AND(F491,RAND()&lt;$J$7),'Deal Analyzer'!$B$8-'Deal Analyzer'!$B$10,-('Deal Analyzer'!$B$10+'Deal Analyzer'!$B$9*'Deal Analyzer'!$B$14))</f>
        <v/>
      </c>
      <c r="H491" s="2" t="n"/>
      <c r="I491" s="2" t="n"/>
      <c r="J491" s="2" t="n"/>
      <c r="K491" s="2" t="n"/>
    </row>
    <row r="492">
      <c r="A492" s="2" t="n">
        <v>481</v>
      </c>
      <c r="B492" s="12">
        <f>MAX(0,'Deal Analyzer'!$B$4*(1+NORM.INV(RAND(),0,$J$4)))</f>
        <v/>
      </c>
      <c r="C492" s="12">
        <f>'Deal Analyzer'!$B$5*MAX(0.9,1+NORM.INV(RAND(),$J$5,$J$6))</f>
        <v/>
      </c>
      <c r="D492" s="12">
        <f>'Deal Analyzer'!$B$24+C492+B492*'Deal Analyzer'!$B$11</f>
        <v/>
      </c>
      <c r="E492" s="15">
        <f>IF(B492=0,0,(B492-D492)/B492)</f>
        <v/>
      </c>
      <c r="F492" s="2">
        <f>E492&gt;='Deal Analyzer'!$B$12</f>
        <v/>
      </c>
      <c r="G492" s="12">
        <f>IF(AND(F492,RAND()&lt;$J$7),'Deal Analyzer'!$B$8-'Deal Analyzer'!$B$10,-('Deal Analyzer'!$B$10+'Deal Analyzer'!$B$9*'Deal Analyzer'!$B$14))</f>
        <v/>
      </c>
      <c r="H492" s="2" t="n"/>
      <c r="I492" s="2" t="n"/>
      <c r="J492" s="2" t="n"/>
      <c r="K492" s="2" t="n"/>
    </row>
    <row r="493">
      <c r="A493" s="2" t="n">
        <v>482</v>
      </c>
      <c r="B493" s="12">
        <f>MAX(0,'Deal Analyzer'!$B$4*(1+NORM.INV(RAND(),0,$J$4)))</f>
        <v/>
      </c>
      <c r="C493" s="12">
        <f>'Deal Analyzer'!$B$5*MAX(0.9,1+NORM.INV(RAND(),$J$5,$J$6))</f>
        <v/>
      </c>
      <c r="D493" s="12">
        <f>'Deal Analyzer'!$B$24+C493+B493*'Deal Analyzer'!$B$11</f>
        <v/>
      </c>
      <c r="E493" s="15">
        <f>IF(B493=0,0,(B493-D493)/B493)</f>
        <v/>
      </c>
      <c r="F493" s="2">
        <f>E493&gt;='Deal Analyzer'!$B$12</f>
        <v/>
      </c>
      <c r="G493" s="12">
        <f>IF(AND(F493,RAND()&lt;$J$7),'Deal Analyzer'!$B$8-'Deal Analyzer'!$B$10,-('Deal Analyzer'!$B$10+'Deal Analyzer'!$B$9*'Deal Analyzer'!$B$14))</f>
        <v/>
      </c>
      <c r="H493" s="2" t="n"/>
      <c r="I493" s="2" t="n"/>
      <c r="J493" s="2" t="n"/>
      <c r="K493" s="2" t="n"/>
    </row>
    <row r="494">
      <c r="A494" s="2" t="n">
        <v>483</v>
      </c>
      <c r="B494" s="12">
        <f>MAX(0,'Deal Analyzer'!$B$4*(1+NORM.INV(RAND(),0,$J$4)))</f>
        <v/>
      </c>
      <c r="C494" s="12">
        <f>'Deal Analyzer'!$B$5*MAX(0.9,1+NORM.INV(RAND(),$J$5,$J$6))</f>
        <v/>
      </c>
      <c r="D494" s="12">
        <f>'Deal Analyzer'!$B$24+C494+B494*'Deal Analyzer'!$B$11</f>
        <v/>
      </c>
      <c r="E494" s="15">
        <f>IF(B494=0,0,(B494-D494)/B494)</f>
        <v/>
      </c>
      <c r="F494" s="2">
        <f>E494&gt;='Deal Analyzer'!$B$12</f>
        <v/>
      </c>
      <c r="G494" s="12">
        <f>IF(AND(F494,RAND()&lt;$J$7),'Deal Analyzer'!$B$8-'Deal Analyzer'!$B$10,-('Deal Analyzer'!$B$10+'Deal Analyzer'!$B$9*'Deal Analyzer'!$B$14))</f>
        <v/>
      </c>
      <c r="H494" s="2" t="n"/>
      <c r="I494" s="2" t="n"/>
      <c r="J494" s="2" t="n"/>
      <c r="K494" s="2" t="n"/>
    </row>
    <row r="495">
      <c r="A495" s="2" t="n">
        <v>484</v>
      </c>
      <c r="B495" s="12">
        <f>MAX(0,'Deal Analyzer'!$B$4*(1+NORM.INV(RAND(),0,$J$4)))</f>
        <v/>
      </c>
      <c r="C495" s="12">
        <f>'Deal Analyzer'!$B$5*MAX(0.9,1+NORM.INV(RAND(),$J$5,$J$6))</f>
        <v/>
      </c>
      <c r="D495" s="12">
        <f>'Deal Analyzer'!$B$24+C495+B495*'Deal Analyzer'!$B$11</f>
        <v/>
      </c>
      <c r="E495" s="15">
        <f>IF(B495=0,0,(B495-D495)/B495)</f>
        <v/>
      </c>
      <c r="F495" s="2">
        <f>E495&gt;='Deal Analyzer'!$B$12</f>
        <v/>
      </c>
      <c r="G495" s="12">
        <f>IF(AND(F495,RAND()&lt;$J$7),'Deal Analyzer'!$B$8-'Deal Analyzer'!$B$10,-('Deal Analyzer'!$B$10+'Deal Analyzer'!$B$9*'Deal Analyzer'!$B$14))</f>
        <v/>
      </c>
      <c r="H495" s="2" t="n"/>
      <c r="I495" s="2" t="n"/>
      <c r="J495" s="2" t="n"/>
      <c r="K495" s="2" t="n"/>
    </row>
    <row r="496">
      <c r="A496" s="2" t="n">
        <v>485</v>
      </c>
      <c r="B496" s="12">
        <f>MAX(0,'Deal Analyzer'!$B$4*(1+NORM.INV(RAND(),0,$J$4)))</f>
        <v/>
      </c>
      <c r="C496" s="12">
        <f>'Deal Analyzer'!$B$5*MAX(0.9,1+NORM.INV(RAND(),$J$5,$J$6))</f>
        <v/>
      </c>
      <c r="D496" s="12">
        <f>'Deal Analyzer'!$B$24+C496+B496*'Deal Analyzer'!$B$11</f>
        <v/>
      </c>
      <c r="E496" s="15">
        <f>IF(B496=0,0,(B496-D496)/B496)</f>
        <v/>
      </c>
      <c r="F496" s="2">
        <f>E496&gt;='Deal Analyzer'!$B$12</f>
        <v/>
      </c>
      <c r="G496" s="12">
        <f>IF(AND(F496,RAND()&lt;$J$7),'Deal Analyzer'!$B$8-'Deal Analyzer'!$B$10,-('Deal Analyzer'!$B$10+'Deal Analyzer'!$B$9*'Deal Analyzer'!$B$14))</f>
        <v/>
      </c>
      <c r="H496" s="2" t="n"/>
      <c r="I496" s="2" t="n"/>
      <c r="J496" s="2" t="n"/>
      <c r="K496" s="2" t="n"/>
    </row>
    <row r="497">
      <c r="A497" s="2" t="n">
        <v>486</v>
      </c>
      <c r="B497" s="12">
        <f>MAX(0,'Deal Analyzer'!$B$4*(1+NORM.INV(RAND(),0,$J$4)))</f>
        <v/>
      </c>
      <c r="C497" s="12">
        <f>'Deal Analyzer'!$B$5*MAX(0.9,1+NORM.INV(RAND(),$J$5,$J$6))</f>
        <v/>
      </c>
      <c r="D497" s="12">
        <f>'Deal Analyzer'!$B$24+C497+B497*'Deal Analyzer'!$B$11</f>
        <v/>
      </c>
      <c r="E497" s="15">
        <f>IF(B497=0,0,(B497-D497)/B497)</f>
        <v/>
      </c>
      <c r="F497" s="2">
        <f>E497&gt;='Deal Analyzer'!$B$12</f>
        <v/>
      </c>
      <c r="G497" s="12">
        <f>IF(AND(F497,RAND()&lt;$J$7),'Deal Analyzer'!$B$8-'Deal Analyzer'!$B$10,-('Deal Analyzer'!$B$10+'Deal Analyzer'!$B$9*'Deal Analyzer'!$B$14))</f>
        <v/>
      </c>
      <c r="H497" s="2" t="n"/>
      <c r="I497" s="2" t="n"/>
      <c r="J497" s="2" t="n"/>
      <c r="K497" s="2" t="n"/>
    </row>
    <row r="498">
      <c r="A498" s="2" t="n">
        <v>487</v>
      </c>
      <c r="B498" s="12">
        <f>MAX(0,'Deal Analyzer'!$B$4*(1+NORM.INV(RAND(),0,$J$4)))</f>
        <v/>
      </c>
      <c r="C498" s="12">
        <f>'Deal Analyzer'!$B$5*MAX(0.9,1+NORM.INV(RAND(),$J$5,$J$6))</f>
        <v/>
      </c>
      <c r="D498" s="12">
        <f>'Deal Analyzer'!$B$24+C498+B498*'Deal Analyzer'!$B$11</f>
        <v/>
      </c>
      <c r="E498" s="15">
        <f>IF(B498=0,0,(B498-D498)/B498)</f>
        <v/>
      </c>
      <c r="F498" s="2">
        <f>E498&gt;='Deal Analyzer'!$B$12</f>
        <v/>
      </c>
      <c r="G498" s="12">
        <f>IF(AND(F498,RAND()&lt;$J$7),'Deal Analyzer'!$B$8-'Deal Analyzer'!$B$10,-('Deal Analyzer'!$B$10+'Deal Analyzer'!$B$9*'Deal Analyzer'!$B$14))</f>
        <v/>
      </c>
      <c r="H498" s="2" t="n"/>
      <c r="I498" s="2" t="n"/>
      <c r="J498" s="2" t="n"/>
      <c r="K498" s="2" t="n"/>
    </row>
    <row r="499">
      <c r="A499" s="2" t="n">
        <v>488</v>
      </c>
      <c r="B499" s="12">
        <f>MAX(0,'Deal Analyzer'!$B$4*(1+NORM.INV(RAND(),0,$J$4)))</f>
        <v/>
      </c>
      <c r="C499" s="12">
        <f>'Deal Analyzer'!$B$5*MAX(0.9,1+NORM.INV(RAND(),$J$5,$J$6))</f>
        <v/>
      </c>
      <c r="D499" s="12">
        <f>'Deal Analyzer'!$B$24+C499+B499*'Deal Analyzer'!$B$11</f>
        <v/>
      </c>
      <c r="E499" s="15">
        <f>IF(B499=0,0,(B499-D499)/B499)</f>
        <v/>
      </c>
      <c r="F499" s="2">
        <f>E499&gt;='Deal Analyzer'!$B$12</f>
        <v/>
      </c>
      <c r="G499" s="12">
        <f>IF(AND(F499,RAND()&lt;$J$7),'Deal Analyzer'!$B$8-'Deal Analyzer'!$B$10,-('Deal Analyzer'!$B$10+'Deal Analyzer'!$B$9*'Deal Analyzer'!$B$14))</f>
        <v/>
      </c>
      <c r="H499" s="2" t="n"/>
      <c r="I499" s="2" t="n"/>
      <c r="J499" s="2" t="n"/>
      <c r="K499" s="2" t="n"/>
    </row>
    <row r="500">
      <c r="A500" s="2" t="n">
        <v>489</v>
      </c>
      <c r="B500" s="12">
        <f>MAX(0,'Deal Analyzer'!$B$4*(1+NORM.INV(RAND(),0,$J$4)))</f>
        <v/>
      </c>
      <c r="C500" s="12">
        <f>'Deal Analyzer'!$B$5*MAX(0.9,1+NORM.INV(RAND(),$J$5,$J$6))</f>
        <v/>
      </c>
      <c r="D500" s="12">
        <f>'Deal Analyzer'!$B$24+C500+B500*'Deal Analyzer'!$B$11</f>
        <v/>
      </c>
      <c r="E500" s="15">
        <f>IF(B500=0,0,(B500-D500)/B500)</f>
        <v/>
      </c>
      <c r="F500" s="2">
        <f>E500&gt;='Deal Analyzer'!$B$12</f>
        <v/>
      </c>
      <c r="G500" s="12">
        <f>IF(AND(F500,RAND()&lt;$J$7),'Deal Analyzer'!$B$8-'Deal Analyzer'!$B$10,-('Deal Analyzer'!$B$10+'Deal Analyzer'!$B$9*'Deal Analyzer'!$B$14))</f>
        <v/>
      </c>
      <c r="H500" s="2" t="n"/>
      <c r="I500" s="2" t="n"/>
      <c r="J500" s="2" t="n"/>
      <c r="K500" s="2" t="n"/>
    </row>
    <row r="501">
      <c r="A501" s="2" t="n">
        <v>490</v>
      </c>
      <c r="B501" s="12">
        <f>MAX(0,'Deal Analyzer'!$B$4*(1+NORM.INV(RAND(),0,$J$4)))</f>
        <v/>
      </c>
      <c r="C501" s="12">
        <f>'Deal Analyzer'!$B$5*MAX(0.9,1+NORM.INV(RAND(),$J$5,$J$6))</f>
        <v/>
      </c>
      <c r="D501" s="12">
        <f>'Deal Analyzer'!$B$24+C501+B501*'Deal Analyzer'!$B$11</f>
        <v/>
      </c>
      <c r="E501" s="15">
        <f>IF(B501=0,0,(B501-D501)/B501)</f>
        <v/>
      </c>
      <c r="F501" s="2">
        <f>E501&gt;='Deal Analyzer'!$B$12</f>
        <v/>
      </c>
      <c r="G501" s="12">
        <f>IF(AND(F501,RAND()&lt;$J$7),'Deal Analyzer'!$B$8-'Deal Analyzer'!$B$10,-('Deal Analyzer'!$B$10+'Deal Analyzer'!$B$9*'Deal Analyzer'!$B$14))</f>
        <v/>
      </c>
      <c r="H501" s="2" t="n"/>
      <c r="I501" s="2" t="n"/>
      <c r="J501" s="2" t="n"/>
      <c r="K501" s="2" t="n"/>
    </row>
    <row r="502">
      <c r="A502" s="2" t="n">
        <v>491</v>
      </c>
      <c r="B502" s="12">
        <f>MAX(0,'Deal Analyzer'!$B$4*(1+NORM.INV(RAND(),0,$J$4)))</f>
        <v/>
      </c>
      <c r="C502" s="12">
        <f>'Deal Analyzer'!$B$5*MAX(0.9,1+NORM.INV(RAND(),$J$5,$J$6))</f>
        <v/>
      </c>
      <c r="D502" s="12">
        <f>'Deal Analyzer'!$B$24+C502+B502*'Deal Analyzer'!$B$11</f>
        <v/>
      </c>
      <c r="E502" s="15">
        <f>IF(B502=0,0,(B502-D502)/B502)</f>
        <v/>
      </c>
      <c r="F502" s="2">
        <f>E502&gt;='Deal Analyzer'!$B$12</f>
        <v/>
      </c>
      <c r="G502" s="12">
        <f>IF(AND(F502,RAND()&lt;$J$7),'Deal Analyzer'!$B$8-'Deal Analyzer'!$B$10,-('Deal Analyzer'!$B$10+'Deal Analyzer'!$B$9*'Deal Analyzer'!$B$14))</f>
        <v/>
      </c>
      <c r="H502" s="2" t="n"/>
      <c r="I502" s="2" t="n"/>
      <c r="J502" s="2" t="n"/>
      <c r="K502" s="2" t="n"/>
    </row>
    <row r="503">
      <c r="A503" s="2" t="n">
        <v>492</v>
      </c>
      <c r="B503" s="12">
        <f>MAX(0,'Deal Analyzer'!$B$4*(1+NORM.INV(RAND(),0,$J$4)))</f>
        <v/>
      </c>
      <c r="C503" s="12">
        <f>'Deal Analyzer'!$B$5*MAX(0.9,1+NORM.INV(RAND(),$J$5,$J$6))</f>
        <v/>
      </c>
      <c r="D503" s="12">
        <f>'Deal Analyzer'!$B$24+C503+B503*'Deal Analyzer'!$B$11</f>
        <v/>
      </c>
      <c r="E503" s="15">
        <f>IF(B503=0,0,(B503-D503)/B503)</f>
        <v/>
      </c>
      <c r="F503" s="2">
        <f>E503&gt;='Deal Analyzer'!$B$12</f>
        <v/>
      </c>
      <c r="G503" s="12">
        <f>IF(AND(F503,RAND()&lt;$J$7),'Deal Analyzer'!$B$8-'Deal Analyzer'!$B$10,-('Deal Analyzer'!$B$10+'Deal Analyzer'!$B$9*'Deal Analyzer'!$B$14))</f>
        <v/>
      </c>
      <c r="H503" s="2" t="n"/>
      <c r="I503" s="2" t="n"/>
      <c r="J503" s="2" t="n"/>
      <c r="K503" s="2" t="n"/>
    </row>
    <row r="504">
      <c r="A504" s="2" t="n">
        <v>493</v>
      </c>
      <c r="B504" s="12">
        <f>MAX(0,'Deal Analyzer'!$B$4*(1+NORM.INV(RAND(),0,$J$4)))</f>
        <v/>
      </c>
      <c r="C504" s="12">
        <f>'Deal Analyzer'!$B$5*MAX(0.9,1+NORM.INV(RAND(),$J$5,$J$6))</f>
        <v/>
      </c>
      <c r="D504" s="12">
        <f>'Deal Analyzer'!$B$24+C504+B504*'Deal Analyzer'!$B$11</f>
        <v/>
      </c>
      <c r="E504" s="15">
        <f>IF(B504=0,0,(B504-D504)/B504)</f>
        <v/>
      </c>
      <c r="F504" s="2">
        <f>E504&gt;='Deal Analyzer'!$B$12</f>
        <v/>
      </c>
      <c r="G504" s="12">
        <f>IF(AND(F504,RAND()&lt;$J$7),'Deal Analyzer'!$B$8-'Deal Analyzer'!$B$10,-('Deal Analyzer'!$B$10+'Deal Analyzer'!$B$9*'Deal Analyzer'!$B$14))</f>
        <v/>
      </c>
      <c r="H504" s="2" t="n"/>
      <c r="I504" s="2" t="n"/>
      <c r="J504" s="2" t="n"/>
      <c r="K504" s="2" t="n"/>
    </row>
    <row r="505">
      <c r="A505" s="2" t="n">
        <v>494</v>
      </c>
      <c r="B505" s="12">
        <f>MAX(0,'Deal Analyzer'!$B$4*(1+NORM.INV(RAND(),0,$J$4)))</f>
        <v/>
      </c>
      <c r="C505" s="12">
        <f>'Deal Analyzer'!$B$5*MAX(0.9,1+NORM.INV(RAND(),$J$5,$J$6))</f>
        <v/>
      </c>
      <c r="D505" s="12">
        <f>'Deal Analyzer'!$B$24+C505+B505*'Deal Analyzer'!$B$11</f>
        <v/>
      </c>
      <c r="E505" s="15">
        <f>IF(B505=0,0,(B505-D505)/B505)</f>
        <v/>
      </c>
      <c r="F505" s="2">
        <f>E505&gt;='Deal Analyzer'!$B$12</f>
        <v/>
      </c>
      <c r="G505" s="12">
        <f>IF(AND(F505,RAND()&lt;$J$7),'Deal Analyzer'!$B$8-'Deal Analyzer'!$B$10,-('Deal Analyzer'!$B$10+'Deal Analyzer'!$B$9*'Deal Analyzer'!$B$14))</f>
        <v/>
      </c>
      <c r="H505" s="2" t="n"/>
      <c r="I505" s="2" t="n"/>
      <c r="J505" s="2" t="n"/>
      <c r="K505" s="2" t="n"/>
    </row>
    <row r="506">
      <c r="A506" s="2" t="n">
        <v>495</v>
      </c>
      <c r="B506" s="12">
        <f>MAX(0,'Deal Analyzer'!$B$4*(1+NORM.INV(RAND(),0,$J$4)))</f>
        <v/>
      </c>
      <c r="C506" s="12">
        <f>'Deal Analyzer'!$B$5*MAX(0.9,1+NORM.INV(RAND(),$J$5,$J$6))</f>
        <v/>
      </c>
      <c r="D506" s="12">
        <f>'Deal Analyzer'!$B$24+C506+B506*'Deal Analyzer'!$B$11</f>
        <v/>
      </c>
      <c r="E506" s="15">
        <f>IF(B506=0,0,(B506-D506)/B506)</f>
        <v/>
      </c>
      <c r="F506" s="2">
        <f>E506&gt;='Deal Analyzer'!$B$12</f>
        <v/>
      </c>
      <c r="G506" s="12">
        <f>IF(AND(F506,RAND()&lt;$J$7),'Deal Analyzer'!$B$8-'Deal Analyzer'!$B$10,-('Deal Analyzer'!$B$10+'Deal Analyzer'!$B$9*'Deal Analyzer'!$B$14))</f>
        <v/>
      </c>
      <c r="H506" s="2" t="n"/>
      <c r="I506" s="2" t="n"/>
      <c r="J506" s="2" t="n"/>
      <c r="K506" s="2" t="n"/>
    </row>
    <row r="507">
      <c r="A507" s="2" t="n">
        <v>496</v>
      </c>
      <c r="B507" s="12">
        <f>MAX(0,'Deal Analyzer'!$B$4*(1+NORM.INV(RAND(),0,$J$4)))</f>
        <v/>
      </c>
      <c r="C507" s="12">
        <f>'Deal Analyzer'!$B$5*MAX(0.9,1+NORM.INV(RAND(),$J$5,$J$6))</f>
        <v/>
      </c>
      <c r="D507" s="12">
        <f>'Deal Analyzer'!$B$24+C507+B507*'Deal Analyzer'!$B$11</f>
        <v/>
      </c>
      <c r="E507" s="15">
        <f>IF(B507=0,0,(B507-D507)/B507)</f>
        <v/>
      </c>
      <c r="F507" s="2">
        <f>E507&gt;='Deal Analyzer'!$B$12</f>
        <v/>
      </c>
      <c r="G507" s="12">
        <f>IF(AND(F507,RAND()&lt;$J$7),'Deal Analyzer'!$B$8-'Deal Analyzer'!$B$10,-('Deal Analyzer'!$B$10+'Deal Analyzer'!$B$9*'Deal Analyzer'!$B$14))</f>
        <v/>
      </c>
      <c r="H507" s="2" t="n"/>
      <c r="I507" s="2" t="n"/>
      <c r="J507" s="2" t="n"/>
      <c r="K507" s="2" t="n"/>
    </row>
    <row r="508">
      <c r="A508" s="2" t="n">
        <v>497</v>
      </c>
      <c r="B508" s="12">
        <f>MAX(0,'Deal Analyzer'!$B$4*(1+NORM.INV(RAND(),0,$J$4)))</f>
        <v/>
      </c>
      <c r="C508" s="12">
        <f>'Deal Analyzer'!$B$5*MAX(0.9,1+NORM.INV(RAND(),$J$5,$J$6))</f>
        <v/>
      </c>
      <c r="D508" s="12">
        <f>'Deal Analyzer'!$B$24+C508+B508*'Deal Analyzer'!$B$11</f>
        <v/>
      </c>
      <c r="E508" s="15">
        <f>IF(B508=0,0,(B508-D508)/B508)</f>
        <v/>
      </c>
      <c r="F508" s="2">
        <f>E508&gt;='Deal Analyzer'!$B$12</f>
        <v/>
      </c>
      <c r="G508" s="12">
        <f>IF(AND(F508,RAND()&lt;$J$7),'Deal Analyzer'!$B$8-'Deal Analyzer'!$B$10,-('Deal Analyzer'!$B$10+'Deal Analyzer'!$B$9*'Deal Analyzer'!$B$14))</f>
        <v/>
      </c>
      <c r="H508" s="2" t="n"/>
      <c r="I508" s="2" t="n"/>
      <c r="J508" s="2" t="n"/>
      <c r="K508" s="2" t="n"/>
    </row>
    <row r="509">
      <c r="A509" s="2" t="n">
        <v>498</v>
      </c>
      <c r="B509" s="12">
        <f>MAX(0,'Deal Analyzer'!$B$4*(1+NORM.INV(RAND(),0,$J$4)))</f>
        <v/>
      </c>
      <c r="C509" s="12">
        <f>'Deal Analyzer'!$B$5*MAX(0.9,1+NORM.INV(RAND(),$J$5,$J$6))</f>
        <v/>
      </c>
      <c r="D509" s="12">
        <f>'Deal Analyzer'!$B$24+C509+B509*'Deal Analyzer'!$B$11</f>
        <v/>
      </c>
      <c r="E509" s="15">
        <f>IF(B509=0,0,(B509-D509)/B509)</f>
        <v/>
      </c>
      <c r="F509" s="2">
        <f>E509&gt;='Deal Analyzer'!$B$12</f>
        <v/>
      </c>
      <c r="G509" s="12">
        <f>IF(AND(F509,RAND()&lt;$J$7),'Deal Analyzer'!$B$8-'Deal Analyzer'!$B$10,-('Deal Analyzer'!$B$10+'Deal Analyzer'!$B$9*'Deal Analyzer'!$B$14))</f>
        <v/>
      </c>
      <c r="H509" s="2" t="n"/>
      <c r="I509" s="2" t="n"/>
      <c r="J509" s="2" t="n"/>
      <c r="K509" s="2" t="n"/>
    </row>
    <row r="510">
      <c r="A510" s="2" t="n">
        <v>499</v>
      </c>
      <c r="B510" s="12">
        <f>MAX(0,'Deal Analyzer'!$B$4*(1+NORM.INV(RAND(),0,$J$4)))</f>
        <v/>
      </c>
      <c r="C510" s="12">
        <f>'Deal Analyzer'!$B$5*MAX(0.9,1+NORM.INV(RAND(),$J$5,$J$6))</f>
        <v/>
      </c>
      <c r="D510" s="12">
        <f>'Deal Analyzer'!$B$24+C510+B510*'Deal Analyzer'!$B$11</f>
        <v/>
      </c>
      <c r="E510" s="15">
        <f>IF(B510=0,0,(B510-D510)/B510)</f>
        <v/>
      </c>
      <c r="F510" s="2">
        <f>E510&gt;='Deal Analyzer'!$B$12</f>
        <v/>
      </c>
      <c r="G510" s="12">
        <f>IF(AND(F510,RAND()&lt;$J$7),'Deal Analyzer'!$B$8-'Deal Analyzer'!$B$10,-('Deal Analyzer'!$B$10+'Deal Analyzer'!$B$9*'Deal Analyzer'!$B$14))</f>
        <v/>
      </c>
      <c r="H510" s="2" t="n"/>
      <c r="I510" s="2" t="n"/>
      <c r="J510" s="2" t="n"/>
      <c r="K510" s="2" t="n"/>
    </row>
    <row r="511">
      <c r="A511" s="2" t="n">
        <v>500</v>
      </c>
      <c r="B511" s="12">
        <f>MAX(0,'Deal Analyzer'!$B$4*(1+NORM.INV(RAND(),0,$J$4)))</f>
        <v/>
      </c>
      <c r="C511" s="12">
        <f>'Deal Analyzer'!$B$5*MAX(0.9,1+NORM.INV(RAND(),$J$5,$J$6))</f>
        <v/>
      </c>
      <c r="D511" s="12">
        <f>'Deal Analyzer'!$B$24+C511+B511*'Deal Analyzer'!$B$11</f>
        <v/>
      </c>
      <c r="E511" s="15">
        <f>IF(B511=0,0,(B511-D511)/B511)</f>
        <v/>
      </c>
      <c r="F511" s="2">
        <f>E511&gt;='Deal Analyzer'!$B$12</f>
        <v/>
      </c>
      <c r="G511" s="12">
        <f>IF(AND(F511,RAND()&lt;$J$7),'Deal Analyzer'!$B$8-'Deal Analyzer'!$B$10,-('Deal Analyzer'!$B$10+'Deal Analyzer'!$B$9*'Deal Analyzer'!$B$14))</f>
        <v/>
      </c>
      <c r="H511" s="2" t="n"/>
      <c r="I511" s="2" t="n"/>
      <c r="J511" s="2" t="n"/>
      <c r="K511" s="2" t="n"/>
    </row>
    <row r="512">
      <c r="A512" s="2" t="n">
        <v>501</v>
      </c>
      <c r="B512" s="12">
        <f>MAX(0,'Deal Analyzer'!$B$4*(1+NORM.INV(RAND(),0,$J$4)))</f>
        <v/>
      </c>
      <c r="C512" s="12">
        <f>'Deal Analyzer'!$B$5*MAX(0.9,1+NORM.INV(RAND(),$J$5,$J$6))</f>
        <v/>
      </c>
      <c r="D512" s="12">
        <f>'Deal Analyzer'!$B$24+C512+B512*'Deal Analyzer'!$B$11</f>
        <v/>
      </c>
      <c r="E512" s="15">
        <f>IF(B512=0,0,(B512-D512)/B512)</f>
        <v/>
      </c>
      <c r="F512" s="2">
        <f>E512&gt;='Deal Analyzer'!$B$12</f>
        <v/>
      </c>
      <c r="G512" s="12">
        <f>IF(AND(F512,RAND()&lt;$J$7),'Deal Analyzer'!$B$8-'Deal Analyzer'!$B$10,-('Deal Analyzer'!$B$10+'Deal Analyzer'!$B$9*'Deal Analyzer'!$B$14))</f>
        <v/>
      </c>
      <c r="H512" s="2" t="n"/>
      <c r="I512" s="2" t="n"/>
      <c r="J512" s="2" t="n"/>
      <c r="K512" s="2" t="n"/>
    </row>
    <row r="513">
      <c r="A513" s="2" t="n">
        <v>502</v>
      </c>
      <c r="B513" s="12">
        <f>MAX(0,'Deal Analyzer'!$B$4*(1+NORM.INV(RAND(),0,$J$4)))</f>
        <v/>
      </c>
      <c r="C513" s="12">
        <f>'Deal Analyzer'!$B$5*MAX(0.9,1+NORM.INV(RAND(),$J$5,$J$6))</f>
        <v/>
      </c>
      <c r="D513" s="12">
        <f>'Deal Analyzer'!$B$24+C513+B513*'Deal Analyzer'!$B$11</f>
        <v/>
      </c>
      <c r="E513" s="15">
        <f>IF(B513=0,0,(B513-D513)/B513)</f>
        <v/>
      </c>
      <c r="F513" s="2">
        <f>E513&gt;='Deal Analyzer'!$B$12</f>
        <v/>
      </c>
      <c r="G513" s="12">
        <f>IF(AND(F513,RAND()&lt;$J$7),'Deal Analyzer'!$B$8-'Deal Analyzer'!$B$10,-('Deal Analyzer'!$B$10+'Deal Analyzer'!$B$9*'Deal Analyzer'!$B$14))</f>
        <v/>
      </c>
      <c r="H513" s="2" t="n"/>
      <c r="I513" s="2" t="n"/>
      <c r="J513" s="2" t="n"/>
      <c r="K513" s="2" t="n"/>
    </row>
    <row r="514">
      <c r="A514" s="2" t="n">
        <v>503</v>
      </c>
      <c r="B514" s="12">
        <f>MAX(0,'Deal Analyzer'!$B$4*(1+NORM.INV(RAND(),0,$J$4)))</f>
        <v/>
      </c>
      <c r="C514" s="12">
        <f>'Deal Analyzer'!$B$5*MAX(0.9,1+NORM.INV(RAND(),$J$5,$J$6))</f>
        <v/>
      </c>
      <c r="D514" s="12">
        <f>'Deal Analyzer'!$B$24+C514+B514*'Deal Analyzer'!$B$11</f>
        <v/>
      </c>
      <c r="E514" s="15">
        <f>IF(B514=0,0,(B514-D514)/B514)</f>
        <v/>
      </c>
      <c r="F514" s="2">
        <f>E514&gt;='Deal Analyzer'!$B$12</f>
        <v/>
      </c>
      <c r="G514" s="12">
        <f>IF(AND(F514,RAND()&lt;$J$7),'Deal Analyzer'!$B$8-'Deal Analyzer'!$B$10,-('Deal Analyzer'!$B$10+'Deal Analyzer'!$B$9*'Deal Analyzer'!$B$14))</f>
        <v/>
      </c>
      <c r="H514" s="2" t="n"/>
      <c r="I514" s="2" t="n"/>
      <c r="J514" s="2" t="n"/>
      <c r="K514" s="2" t="n"/>
    </row>
    <row r="515">
      <c r="A515" s="2" t="n">
        <v>504</v>
      </c>
      <c r="B515" s="12">
        <f>MAX(0,'Deal Analyzer'!$B$4*(1+NORM.INV(RAND(),0,$J$4)))</f>
        <v/>
      </c>
      <c r="C515" s="12">
        <f>'Deal Analyzer'!$B$5*MAX(0.9,1+NORM.INV(RAND(),$J$5,$J$6))</f>
        <v/>
      </c>
      <c r="D515" s="12">
        <f>'Deal Analyzer'!$B$24+C515+B515*'Deal Analyzer'!$B$11</f>
        <v/>
      </c>
      <c r="E515" s="15">
        <f>IF(B515=0,0,(B515-D515)/B515)</f>
        <v/>
      </c>
      <c r="F515" s="2">
        <f>E515&gt;='Deal Analyzer'!$B$12</f>
        <v/>
      </c>
      <c r="G515" s="12">
        <f>IF(AND(F515,RAND()&lt;$J$7),'Deal Analyzer'!$B$8-'Deal Analyzer'!$B$10,-('Deal Analyzer'!$B$10+'Deal Analyzer'!$B$9*'Deal Analyzer'!$B$14))</f>
        <v/>
      </c>
      <c r="H515" s="2" t="n"/>
      <c r="I515" s="2" t="n"/>
      <c r="J515" s="2" t="n"/>
      <c r="K515" s="2" t="n"/>
    </row>
    <row r="516">
      <c r="A516" s="2" t="n">
        <v>505</v>
      </c>
      <c r="B516" s="12">
        <f>MAX(0,'Deal Analyzer'!$B$4*(1+NORM.INV(RAND(),0,$J$4)))</f>
        <v/>
      </c>
      <c r="C516" s="12">
        <f>'Deal Analyzer'!$B$5*MAX(0.9,1+NORM.INV(RAND(),$J$5,$J$6))</f>
        <v/>
      </c>
      <c r="D516" s="12">
        <f>'Deal Analyzer'!$B$24+C516+B516*'Deal Analyzer'!$B$11</f>
        <v/>
      </c>
      <c r="E516" s="15">
        <f>IF(B516=0,0,(B516-D516)/B516)</f>
        <v/>
      </c>
      <c r="F516" s="2">
        <f>E516&gt;='Deal Analyzer'!$B$12</f>
        <v/>
      </c>
      <c r="G516" s="12">
        <f>IF(AND(F516,RAND()&lt;$J$7),'Deal Analyzer'!$B$8-'Deal Analyzer'!$B$10,-('Deal Analyzer'!$B$10+'Deal Analyzer'!$B$9*'Deal Analyzer'!$B$14))</f>
        <v/>
      </c>
      <c r="H516" s="2" t="n"/>
      <c r="I516" s="2" t="n"/>
      <c r="J516" s="2" t="n"/>
      <c r="K516" s="2" t="n"/>
    </row>
    <row r="517">
      <c r="A517" s="2" t="n">
        <v>506</v>
      </c>
      <c r="B517" s="12">
        <f>MAX(0,'Deal Analyzer'!$B$4*(1+NORM.INV(RAND(),0,$J$4)))</f>
        <v/>
      </c>
      <c r="C517" s="12">
        <f>'Deal Analyzer'!$B$5*MAX(0.9,1+NORM.INV(RAND(),$J$5,$J$6))</f>
        <v/>
      </c>
      <c r="D517" s="12">
        <f>'Deal Analyzer'!$B$24+C517+B517*'Deal Analyzer'!$B$11</f>
        <v/>
      </c>
      <c r="E517" s="15">
        <f>IF(B517=0,0,(B517-D517)/B517)</f>
        <v/>
      </c>
      <c r="F517" s="2">
        <f>E517&gt;='Deal Analyzer'!$B$12</f>
        <v/>
      </c>
      <c r="G517" s="12">
        <f>IF(AND(F517,RAND()&lt;$J$7),'Deal Analyzer'!$B$8-'Deal Analyzer'!$B$10,-('Deal Analyzer'!$B$10+'Deal Analyzer'!$B$9*'Deal Analyzer'!$B$14))</f>
        <v/>
      </c>
      <c r="H517" s="2" t="n"/>
      <c r="I517" s="2" t="n"/>
      <c r="J517" s="2" t="n"/>
      <c r="K517" s="2" t="n"/>
    </row>
    <row r="518">
      <c r="A518" s="2" t="n">
        <v>507</v>
      </c>
      <c r="B518" s="12">
        <f>MAX(0,'Deal Analyzer'!$B$4*(1+NORM.INV(RAND(),0,$J$4)))</f>
        <v/>
      </c>
      <c r="C518" s="12">
        <f>'Deal Analyzer'!$B$5*MAX(0.9,1+NORM.INV(RAND(),$J$5,$J$6))</f>
        <v/>
      </c>
      <c r="D518" s="12">
        <f>'Deal Analyzer'!$B$24+C518+B518*'Deal Analyzer'!$B$11</f>
        <v/>
      </c>
      <c r="E518" s="15">
        <f>IF(B518=0,0,(B518-D518)/B518)</f>
        <v/>
      </c>
      <c r="F518" s="2">
        <f>E518&gt;='Deal Analyzer'!$B$12</f>
        <v/>
      </c>
      <c r="G518" s="12">
        <f>IF(AND(F518,RAND()&lt;$J$7),'Deal Analyzer'!$B$8-'Deal Analyzer'!$B$10,-('Deal Analyzer'!$B$10+'Deal Analyzer'!$B$9*'Deal Analyzer'!$B$14))</f>
        <v/>
      </c>
      <c r="H518" s="2" t="n"/>
      <c r="I518" s="2" t="n"/>
      <c r="J518" s="2" t="n"/>
      <c r="K518" s="2" t="n"/>
    </row>
    <row r="519">
      <c r="A519" s="2" t="n">
        <v>508</v>
      </c>
      <c r="B519" s="12">
        <f>MAX(0,'Deal Analyzer'!$B$4*(1+NORM.INV(RAND(),0,$J$4)))</f>
        <v/>
      </c>
      <c r="C519" s="12">
        <f>'Deal Analyzer'!$B$5*MAX(0.9,1+NORM.INV(RAND(),$J$5,$J$6))</f>
        <v/>
      </c>
      <c r="D519" s="12">
        <f>'Deal Analyzer'!$B$24+C519+B519*'Deal Analyzer'!$B$11</f>
        <v/>
      </c>
      <c r="E519" s="15">
        <f>IF(B519=0,0,(B519-D519)/B519)</f>
        <v/>
      </c>
      <c r="F519" s="2">
        <f>E519&gt;='Deal Analyzer'!$B$12</f>
        <v/>
      </c>
      <c r="G519" s="12">
        <f>IF(AND(F519,RAND()&lt;$J$7),'Deal Analyzer'!$B$8-'Deal Analyzer'!$B$10,-('Deal Analyzer'!$B$10+'Deal Analyzer'!$B$9*'Deal Analyzer'!$B$14))</f>
        <v/>
      </c>
      <c r="H519" s="2" t="n"/>
      <c r="I519" s="2" t="n"/>
      <c r="J519" s="2" t="n"/>
      <c r="K519" s="2" t="n"/>
    </row>
    <row r="520">
      <c r="A520" s="2" t="n">
        <v>509</v>
      </c>
      <c r="B520" s="12">
        <f>MAX(0,'Deal Analyzer'!$B$4*(1+NORM.INV(RAND(),0,$J$4)))</f>
        <v/>
      </c>
      <c r="C520" s="12">
        <f>'Deal Analyzer'!$B$5*MAX(0.9,1+NORM.INV(RAND(),$J$5,$J$6))</f>
        <v/>
      </c>
      <c r="D520" s="12">
        <f>'Deal Analyzer'!$B$24+C520+B520*'Deal Analyzer'!$B$11</f>
        <v/>
      </c>
      <c r="E520" s="15">
        <f>IF(B520=0,0,(B520-D520)/B520)</f>
        <v/>
      </c>
      <c r="F520" s="2">
        <f>E520&gt;='Deal Analyzer'!$B$12</f>
        <v/>
      </c>
      <c r="G520" s="12">
        <f>IF(AND(F520,RAND()&lt;$J$7),'Deal Analyzer'!$B$8-'Deal Analyzer'!$B$10,-('Deal Analyzer'!$B$10+'Deal Analyzer'!$B$9*'Deal Analyzer'!$B$14))</f>
        <v/>
      </c>
      <c r="H520" s="2" t="n"/>
      <c r="I520" s="2" t="n"/>
      <c r="J520" s="2" t="n"/>
      <c r="K520" s="2" t="n"/>
    </row>
    <row r="521">
      <c r="A521" s="2" t="n">
        <v>510</v>
      </c>
      <c r="B521" s="12">
        <f>MAX(0,'Deal Analyzer'!$B$4*(1+NORM.INV(RAND(),0,$J$4)))</f>
        <v/>
      </c>
      <c r="C521" s="12">
        <f>'Deal Analyzer'!$B$5*MAX(0.9,1+NORM.INV(RAND(),$J$5,$J$6))</f>
        <v/>
      </c>
      <c r="D521" s="12">
        <f>'Deal Analyzer'!$B$24+C521+B521*'Deal Analyzer'!$B$11</f>
        <v/>
      </c>
      <c r="E521" s="15">
        <f>IF(B521=0,0,(B521-D521)/B521)</f>
        <v/>
      </c>
      <c r="F521" s="2">
        <f>E521&gt;='Deal Analyzer'!$B$12</f>
        <v/>
      </c>
      <c r="G521" s="12">
        <f>IF(AND(F521,RAND()&lt;$J$7),'Deal Analyzer'!$B$8-'Deal Analyzer'!$B$10,-('Deal Analyzer'!$B$10+'Deal Analyzer'!$B$9*'Deal Analyzer'!$B$14))</f>
        <v/>
      </c>
      <c r="H521" s="2" t="n"/>
      <c r="I521" s="2" t="n"/>
      <c r="J521" s="2" t="n"/>
      <c r="K521" s="2" t="n"/>
    </row>
    <row r="522">
      <c r="A522" s="2" t="n">
        <v>511</v>
      </c>
      <c r="B522" s="12">
        <f>MAX(0,'Deal Analyzer'!$B$4*(1+NORM.INV(RAND(),0,$J$4)))</f>
        <v/>
      </c>
      <c r="C522" s="12">
        <f>'Deal Analyzer'!$B$5*MAX(0.9,1+NORM.INV(RAND(),$J$5,$J$6))</f>
        <v/>
      </c>
      <c r="D522" s="12">
        <f>'Deal Analyzer'!$B$24+C522+B522*'Deal Analyzer'!$B$11</f>
        <v/>
      </c>
      <c r="E522" s="15">
        <f>IF(B522=0,0,(B522-D522)/B522)</f>
        <v/>
      </c>
      <c r="F522" s="2">
        <f>E522&gt;='Deal Analyzer'!$B$12</f>
        <v/>
      </c>
      <c r="G522" s="12">
        <f>IF(AND(F522,RAND()&lt;$J$7),'Deal Analyzer'!$B$8-'Deal Analyzer'!$B$10,-('Deal Analyzer'!$B$10+'Deal Analyzer'!$B$9*'Deal Analyzer'!$B$14))</f>
        <v/>
      </c>
      <c r="H522" s="2" t="n"/>
      <c r="I522" s="2" t="n"/>
      <c r="J522" s="2" t="n"/>
      <c r="K522" s="2" t="n"/>
    </row>
    <row r="523">
      <c r="A523" s="2" t="n">
        <v>512</v>
      </c>
      <c r="B523" s="12">
        <f>MAX(0,'Deal Analyzer'!$B$4*(1+NORM.INV(RAND(),0,$J$4)))</f>
        <v/>
      </c>
      <c r="C523" s="12">
        <f>'Deal Analyzer'!$B$5*MAX(0.9,1+NORM.INV(RAND(),$J$5,$J$6))</f>
        <v/>
      </c>
      <c r="D523" s="12">
        <f>'Deal Analyzer'!$B$24+C523+B523*'Deal Analyzer'!$B$11</f>
        <v/>
      </c>
      <c r="E523" s="15">
        <f>IF(B523=0,0,(B523-D523)/B523)</f>
        <v/>
      </c>
      <c r="F523" s="2">
        <f>E523&gt;='Deal Analyzer'!$B$12</f>
        <v/>
      </c>
      <c r="G523" s="12">
        <f>IF(AND(F523,RAND()&lt;$J$7),'Deal Analyzer'!$B$8-'Deal Analyzer'!$B$10,-('Deal Analyzer'!$B$10+'Deal Analyzer'!$B$9*'Deal Analyzer'!$B$14))</f>
        <v/>
      </c>
      <c r="H523" s="2" t="n"/>
      <c r="I523" s="2" t="n"/>
      <c r="J523" s="2" t="n"/>
      <c r="K523" s="2" t="n"/>
    </row>
    <row r="524">
      <c r="A524" s="2" t="n">
        <v>513</v>
      </c>
      <c r="B524" s="12">
        <f>MAX(0,'Deal Analyzer'!$B$4*(1+NORM.INV(RAND(),0,$J$4)))</f>
        <v/>
      </c>
      <c r="C524" s="12">
        <f>'Deal Analyzer'!$B$5*MAX(0.9,1+NORM.INV(RAND(),$J$5,$J$6))</f>
        <v/>
      </c>
      <c r="D524" s="12">
        <f>'Deal Analyzer'!$B$24+C524+B524*'Deal Analyzer'!$B$11</f>
        <v/>
      </c>
      <c r="E524" s="15">
        <f>IF(B524=0,0,(B524-D524)/B524)</f>
        <v/>
      </c>
      <c r="F524" s="2">
        <f>E524&gt;='Deal Analyzer'!$B$12</f>
        <v/>
      </c>
      <c r="G524" s="12">
        <f>IF(AND(F524,RAND()&lt;$J$7),'Deal Analyzer'!$B$8-'Deal Analyzer'!$B$10,-('Deal Analyzer'!$B$10+'Deal Analyzer'!$B$9*'Deal Analyzer'!$B$14))</f>
        <v/>
      </c>
      <c r="H524" s="2" t="n"/>
      <c r="I524" s="2" t="n"/>
      <c r="J524" s="2" t="n"/>
      <c r="K524" s="2" t="n"/>
    </row>
    <row r="525">
      <c r="A525" s="2" t="n">
        <v>514</v>
      </c>
      <c r="B525" s="12">
        <f>MAX(0,'Deal Analyzer'!$B$4*(1+NORM.INV(RAND(),0,$J$4)))</f>
        <v/>
      </c>
      <c r="C525" s="12">
        <f>'Deal Analyzer'!$B$5*MAX(0.9,1+NORM.INV(RAND(),$J$5,$J$6))</f>
        <v/>
      </c>
      <c r="D525" s="12">
        <f>'Deal Analyzer'!$B$24+C525+B525*'Deal Analyzer'!$B$11</f>
        <v/>
      </c>
      <c r="E525" s="15">
        <f>IF(B525=0,0,(B525-D525)/B525)</f>
        <v/>
      </c>
      <c r="F525" s="2">
        <f>E525&gt;='Deal Analyzer'!$B$12</f>
        <v/>
      </c>
      <c r="G525" s="12">
        <f>IF(AND(F525,RAND()&lt;$J$7),'Deal Analyzer'!$B$8-'Deal Analyzer'!$B$10,-('Deal Analyzer'!$B$10+'Deal Analyzer'!$B$9*'Deal Analyzer'!$B$14))</f>
        <v/>
      </c>
      <c r="H525" s="2" t="n"/>
      <c r="I525" s="2" t="n"/>
      <c r="J525" s="2" t="n"/>
      <c r="K525" s="2" t="n"/>
    </row>
    <row r="526">
      <c r="A526" s="2" t="n">
        <v>515</v>
      </c>
      <c r="B526" s="12">
        <f>MAX(0,'Deal Analyzer'!$B$4*(1+NORM.INV(RAND(),0,$J$4)))</f>
        <v/>
      </c>
      <c r="C526" s="12">
        <f>'Deal Analyzer'!$B$5*MAX(0.9,1+NORM.INV(RAND(),$J$5,$J$6))</f>
        <v/>
      </c>
      <c r="D526" s="12">
        <f>'Deal Analyzer'!$B$24+C526+B526*'Deal Analyzer'!$B$11</f>
        <v/>
      </c>
      <c r="E526" s="15">
        <f>IF(B526=0,0,(B526-D526)/B526)</f>
        <v/>
      </c>
      <c r="F526" s="2">
        <f>E526&gt;='Deal Analyzer'!$B$12</f>
        <v/>
      </c>
      <c r="G526" s="12">
        <f>IF(AND(F526,RAND()&lt;$J$7),'Deal Analyzer'!$B$8-'Deal Analyzer'!$B$10,-('Deal Analyzer'!$B$10+'Deal Analyzer'!$B$9*'Deal Analyzer'!$B$14))</f>
        <v/>
      </c>
      <c r="H526" s="2" t="n"/>
      <c r="I526" s="2" t="n"/>
      <c r="J526" s="2" t="n"/>
      <c r="K526" s="2" t="n"/>
    </row>
    <row r="527">
      <c r="A527" s="2" t="n">
        <v>516</v>
      </c>
      <c r="B527" s="12">
        <f>MAX(0,'Deal Analyzer'!$B$4*(1+NORM.INV(RAND(),0,$J$4)))</f>
        <v/>
      </c>
      <c r="C527" s="12">
        <f>'Deal Analyzer'!$B$5*MAX(0.9,1+NORM.INV(RAND(),$J$5,$J$6))</f>
        <v/>
      </c>
      <c r="D527" s="12">
        <f>'Deal Analyzer'!$B$24+C527+B527*'Deal Analyzer'!$B$11</f>
        <v/>
      </c>
      <c r="E527" s="15">
        <f>IF(B527=0,0,(B527-D527)/B527)</f>
        <v/>
      </c>
      <c r="F527" s="2">
        <f>E527&gt;='Deal Analyzer'!$B$12</f>
        <v/>
      </c>
      <c r="G527" s="12">
        <f>IF(AND(F527,RAND()&lt;$J$7),'Deal Analyzer'!$B$8-'Deal Analyzer'!$B$10,-('Deal Analyzer'!$B$10+'Deal Analyzer'!$B$9*'Deal Analyzer'!$B$14))</f>
        <v/>
      </c>
      <c r="H527" s="2" t="n"/>
      <c r="I527" s="2" t="n"/>
      <c r="J527" s="2" t="n"/>
      <c r="K527" s="2" t="n"/>
    </row>
    <row r="528">
      <c r="A528" s="2" t="n">
        <v>517</v>
      </c>
      <c r="B528" s="12">
        <f>MAX(0,'Deal Analyzer'!$B$4*(1+NORM.INV(RAND(),0,$J$4)))</f>
        <v/>
      </c>
      <c r="C528" s="12">
        <f>'Deal Analyzer'!$B$5*MAX(0.9,1+NORM.INV(RAND(),$J$5,$J$6))</f>
        <v/>
      </c>
      <c r="D528" s="12">
        <f>'Deal Analyzer'!$B$24+C528+B528*'Deal Analyzer'!$B$11</f>
        <v/>
      </c>
      <c r="E528" s="15">
        <f>IF(B528=0,0,(B528-D528)/B528)</f>
        <v/>
      </c>
      <c r="F528" s="2">
        <f>E528&gt;='Deal Analyzer'!$B$12</f>
        <v/>
      </c>
      <c r="G528" s="12">
        <f>IF(AND(F528,RAND()&lt;$J$7),'Deal Analyzer'!$B$8-'Deal Analyzer'!$B$10,-('Deal Analyzer'!$B$10+'Deal Analyzer'!$B$9*'Deal Analyzer'!$B$14))</f>
        <v/>
      </c>
      <c r="H528" s="2" t="n"/>
      <c r="I528" s="2" t="n"/>
      <c r="J528" s="2" t="n"/>
      <c r="K528" s="2" t="n"/>
    </row>
    <row r="529">
      <c r="A529" s="2" t="n">
        <v>518</v>
      </c>
      <c r="B529" s="12">
        <f>MAX(0,'Deal Analyzer'!$B$4*(1+NORM.INV(RAND(),0,$J$4)))</f>
        <v/>
      </c>
      <c r="C529" s="12">
        <f>'Deal Analyzer'!$B$5*MAX(0.9,1+NORM.INV(RAND(),$J$5,$J$6))</f>
        <v/>
      </c>
      <c r="D529" s="12">
        <f>'Deal Analyzer'!$B$24+C529+B529*'Deal Analyzer'!$B$11</f>
        <v/>
      </c>
      <c r="E529" s="15">
        <f>IF(B529=0,0,(B529-D529)/B529)</f>
        <v/>
      </c>
      <c r="F529" s="2">
        <f>E529&gt;='Deal Analyzer'!$B$12</f>
        <v/>
      </c>
      <c r="G529" s="12">
        <f>IF(AND(F529,RAND()&lt;$J$7),'Deal Analyzer'!$B$8-'Deal Analyzer'!$B$10,-('Deal Analyzer'!$B$10+'Deal Analyzer'!$B$9*'Deal Analyzer'!$B$14))</f>
        <v/>
      </c>
      <c r="H529" s="2" t="n"/>
      <c r="I529" s="2" t="n"/>
      <c r="J529" s="2" t="n"/>
      <c r="K529" s="2" t="n"/>
    </row>
    <row r="530">
      <c r="A530" s="2" t="n">
        <v>519</v>
      </c>
      <c r="B530" s="12">
        <f>MAX(0,'Deal Analyzer'!$B$4*(1+NORM.INV(RAND(),0,$J$4)))</f>
        <v/>
      </c>
      <c r="C530" s="12">
        <f>'Deal Analyzer'!$B$5*MAX(0.9,1+NORM.INV(RAND(),$J$5,$J$6))</f>
        <v/>
      </c>
      <c r="D530" s="12">
        <f>'Deal Analyzer'!$B$24+C530+B530*'Deal Analyzer'!$B$11</f>
        <v/>
      </c>
      <c r="E530" s="15">
        <f>IF(B530=0,0,(B530-D530)/B530)</f>
        <v/>
      </c>
      <c r="F530" s="2">
        <f>E530&gt;='Deal Analyzer'!$B$12</f>
        <v/>
      </c>
      <c r="G530" s="12">
        <f>IF(AND(F530,RAND()&lt;$J$7),'Deal Analyzer'!$B$8-'Deal Analyzer'!$B$10,-('Deal Analyzer'!$B$10+'Deal Analyzer'!$B$9*'Deal Analyzer'!$B$14))</f>
        <v/>
      </c>
      <c r="H530" s="2" t="n"/>
      <c r="I530" s="2" t="n"/>
      <c r="J530" s="2" t="n"/>
      <c r="K530" s="2" t="n"/>
    </row>
    <row r="531">
      <c r="A531" s="2" t="n">
        <v>520</v>
      </c>
      <c r="B531" s="12">
        <f>MAX(0,'Deal Analyzer'!$B$4*(1+NORM.INV(RAND(),0,$J$4)))</f>
        <v/>
      </c>
      <c r="C531" s="12">
        <f>'Deal Analyzer'!$B$5*MAX(0.9,1+NORM.INV(RAND(),$J$5,$J$6))</f>
        <v/>
      </c>
      <c r="D531" s="12">
        <f>'Deal Analyzer'!$B$24+C531+B531*'Deal Analyzer'!$B$11</f>
        <v/>
      </c>
      <c r="E531" s="15">
        <f>IF(B531=0,0,(B531-D531)/B531)</f>
        <v/>
      </c>
      <c r="F531" s="2">
        <f>E531&gt;='Deal Analyzer'!$B$12</f>
        <v/>
      </c>
      <c r="G531" s="12">
        <f>IF(AND(F531,RAND()&lt;$J$7),'Deal Analyzer'!$B$8-'Deal Analyzer'!$B$10,-('Deal Analyzer'!$B$10+'Deal Analyzer'!$B$9*'Deal Analyzer'!$B$14))</f>
        <v/>
      </c>
      <c r="H531" s="2" t="n"/>
      <c r="I531" s="2" t="n"/>
      <c r="J531" s="2" t="n"/>
      <c r="K531" s="2" t="n"/>
    </row>
    <row r="532">
      <c r="A532" s="2" t="n">
        <v>521</v>
      </c>
      <c r="B532" s="12">
        <f>MAX(0,'Deal Analyzer'!$B$4*(1+NORM.INV(RAND(),0,$J$4)))</f>
        <v/>
      </c>
      <c r="C532" s="12">
        <f>'Deal Analyzer'!$B$5*MAX(0.9,1+NORM.INV(RAND(),$J$5,$J$6))</f>
        <v/>
      </c>
      <c r="D532" s="12">
        <f>'Deal Analyzer'!$B$24+C532+B532*'Deal Analyzer'!$B$11</f>
        <v/>
      </c>
      <c r="E532" s="15">
        <f>IF(B532=0,0,(B532-D532)/B532)</f>
        <v/>
      </c>
      <c r="F532" s="2">
        <f>E532&gt;='Deal Analyzer'!$B$12</f>
        <v/>
      </c>
      <c r="G532" s="12">
        <f>IF(AND(F532,RAND()&lt;$J$7),'Deal Analyzer'!$B$8-'Deal Analyzer'!$B$10,-('Deal Analyzer'!$B$10+'Deal Analyzer'!$B$9*'Deal Analyzer'!$B$14))</f>
        <v/>
      </c>
      <c r="H532" s="2" t="n"/>
      <c r="I532" s="2" t="n"/>
      <c r="J532" s="2" t="n"/>
      <c r="K532" s="2" t="n"/>
    </row>
    <row r="533">
      <c r="A533" s="2" t="n">
        <v>522</v>
      </c>
      <c r="B533" s="12">
        <f>MAX(0,'Deal Analyzer'!$B$4*(1+NORM.INV(RAND(),0,$J$4)))</f>
        <v/>
      </c>
      <c r="C533" s="12">
        <f>'Deal Analyzer'!$B$5*MAX(0.9,1+NORM.INV(RAND(),$J$5,$J$6))</f>
        <v/>
      </c>
      <c r="D533" s="12">
        <f>'Deal Analyzer'!$B$24+C533+B533*'Deal Analyzer'!$B$11</f>
        <v/>
      </c>
      <c r="E533" s="15">
        <f>IF(B533=0,0,(B533-D533)/B533)</f>
        <v/>
      </c>
      <c r="F533" s="2">
        <f>E533&gt;='Deal Analyzer'!$B$12</f>
        <v/>
      </c>
      <c r="G533" s="12">
        <f>IF(AND(F533,RAND()&lt;$J$7),'Deal Analyzer'!$B$8-'Deal Analyzer'!$B$10,-('Deal Analyzer'!$B$10+'Deal Analyzer'!$B$9*'Deal Analyzer'!$B$14))</f>
        <v/>
      </c>
      <c r="H533" s="2" t="n"/>
      <c r="I533" s="2" t="n"/>
      <c r="J533" s="2" t="n"/>
      <c r="K533" s="2" t="n"/>
    </row>
    <row r="534">
      <c r="A534" s="2" t="n">
        <v>523</v>
      </c>
      <c r="B534" s="12">
        <f>MAX(0,'Deal Analyzer'!$B$4*(1+NORM.INV(RAND(),0,$J$4)))</f>
        <v/>
      </c>
      <c r="C534" s="12">
        <f>'Deal Analyzer'!$B$5*MAX(0.9,1+NORM.INV(RAND(),$J$5,$J$6))</f>
        <v/>
      </c>
      <c r="D534" s="12">
        <f>'Deal Analyzer'!$B$24+C534+B534*'Deal Analyzer'!$B$11</f>
        <v/>
      </c>
      <c r="E534" s="15">
        <f>IF(B534=0,0,(B534-D534)/B534)</f>
        <v/>
      </c>
      <c r="F534" s="2">
        <f>E534&gt;='Deal Analyzer'!$B$12</f>
        <v/>
      </c>
      <c r="G534" s="12">
        <f>IF(AND(F534,RAND()&lt;$J$7),'Deal Analyzer'!$B$8-'Deal Analyzer'!$B$10,-('Deal Analyzer'!$B$10+'Deal Analyzer'!$B$9*'Deal Analyzer'!$B$14))</f>
        <v/>
      </c>
      <c r="H534" s="2" t="n"/>
      <c r="I534" s="2" t="n"/>
      <c r="J534" s="2" t="n"/>
      <c r="K534" s="2" t="n"/>
    </row>
    <row r="535">
      <c r="A535" s="2" t="n">
        <v>524</v>
      </c>
      <c r="B535" s="12">
        <f>MAX(0,'Deal Analyzer'!$B$4*(1+NORM.INV(RAND(),0,$J$4)))</f>
        <v/>
      </c>
      <c r="C535" s="12">
        <f>'Deal Analyzer'!$B$5*MAX(0.9,1+NORM.INV(RAND(),$J$5,$J$6))</f>
        <v/>
      </c>
      <c r="D535" s="12">
        <f>'Deal Analyzer'!$B$24+C535+B535*'Deal Analyzer'!$B$11</f>
        <v/>
      </c>
      <c r="E535" s="15">
        <f>IF(B535=0,0,(B535-D535)/B535)</f>
        <v/>
      </c>
      <c r="F535" s="2">
        <f>E535&gt;='Deal Analyzer'!$B$12</f>
        <v/>
      </c>
      <c r="G535" s="12">
        <f>IF(AND(F535,RAND()&lt;$J$7),'Deal Analyzer'!$B$8-'Deal Analyzer'!$B$10,-('Deal Analyzer'!$B$10+'Deal Analyzer'!$B$9*'Deal Analyzer'!$B$14))</f>
        <v/>
      </c>
      <c r="H535" s="2" t="n"/>
      <c r="I535" s="2" t="n"/>
      <c r="J535" s="2" t="n"/>
      <c r="K535" s="2" t="n"/>
    </row>
    <row r="536">
      <c r="A536" s="2" t="n">
        <v>525</v>
      </c>
      <c r="B536" s="12">
        <f>MAX(0,'Deal Analyzer'!$B$4*(1+NORM.INV(RAND(),0,$J$4)))</f>
        <v/>
      </c>
      <c r="C536" s="12">
        <f>'Deal Analyzer'!$B$5*MAX(0.9,1+NORM.INV(RAND(),$J$5,$J$6))</f>
        <v/>
      </c>
      <c r="D536" s="12">
        <f>'Deal Analyzer'!$B$24+C536+B536*'Deal Analyzer'!$B$11</f>
        <v/>
      </c>
      <c r="E536" s="15">
        <f>IF(B536=0,0,(B536-D536)/B536)</f>
        <v/>
      </c>
      <c r="F536" s="2">
        <f>E536&gt;='Deal Analyzer'!$B$12</f>
        <v/>
      </c>
      <c r="G536" s="12">
        <f>IF(AND(F536,RAND()&lt;$J$7),'Deal Analyzer'!$B$8-'Deal Analyzer'!$B$10,-('Deal Analyzer'!$B$10+'Deal Analyzer'!$B$9*'Deal Analyzer'!$B$14))</f>
        <v/>
      </c>
      <c r="H536" s="2" t="n"/>
      <c r="I536" s="2" t="n"/>
      <c r="J536" s="2" t="n"/>
      <c r="K536" s="2" t="n"/>
    </row>
    <row r="537">
      <c r="A537" s="2" t="n">
        <v>526</v>
      </c>
      <c r="B537" s="12">
        <f>MAX(0,'Deal Analyzer'!$B$4*(1+NORM.INV(RAND(),0,$J$4)))</f>
        <v/>
      </c>
      <c r="C537" s="12">
        <f>'Deal Analyzer'!$B$5*MAX(0.9,1+NORM.INV(RAND(),$J$5,$J$6))</f>
        <v/>
      </c>
      <c r="D537" s="12">
        <f>'Deal Analyzer'!$B$24+C537+B537*'Deal Analyzer'!$B$11</f>
        <v/>
      </c>
      <c r="E537" s="15">
        <f>IF(B537=0,0,(B537-D537)/B537)</f>
        <v/>
      </c>
      <c r="F537" s="2">
        <f>E537&gt;='Deal Analyzer'!$B$12</f>
        <v/>
      </c>
      <c r="G537" s="12">
        <f>IF(AND(F537,RAND()&lt;$J$7),'Deal Analyzer'!$B$8-'Deal Analyzer'!$B$10,-('Deal Analyzer'!$B$10+'Deal Analyzer'!$B$9*'Deal Analyzer'!$B$14))</f>
        <v/>
      </c>
      <c r="H537" s="2" t="n"/>
      <c r="I537" s="2" t="n"/>
      <c r="J537" s="2" t="n"/>
      <c r="K537" s="2" t="n"/>
    </row>
    <row r="538">
      <c r="A538" s="2" t="n">
        <v>527</v>
      </c>
      <c r="B538" s="12">
        <f>MAX(0,'Deal Analyzer'!$B$4*(1+NORM.INV(RAND(),0,$J$4)))</f>
        <v/>
      </c>
      <c r="C538" s="12">
        <f>'Deal Analyzer'!$B$5*MAX(0.9,1+NORM.INV(RAND(),$J$5,$J$6))</f>
        <v/>
      </c>
      <c r="D538" s="12">
        <f>'Deal Analyzer'!$B$24+C538+B538*'Deal Analyzer'!$B$11</f>
        <v/>
      </c>
      <c r="E538" s="15">
        <f>IF(B538=0,0,(B538-D538)/B538)</f>
        <v/>
      </c>
      <c r="F538" s="2">
        <f>E538&gt;='Deal Analyzer'!$B$12</f>
        <v/>
      </c>
      <c r="G538" s="12">
        <f>IF(AND(F538,RAND()&lt;$J$7),'Deal Analyzer'!$B$8-'Deal Analyzer'!$B$10,-('Deal Analyzer'!$B$10+'Deal Analyzer'!$B$9*'Deal Analyzer'!$B$14))</f>
        <v/>
      </c>
      <c r="H538" s="2" t="n"/>
      <c r="I538" s="2" t="n"/>
      <c r="J538" s="2" t="n"/>
      <c r="K538" s="2" t="n"/>
    </row>
    <row r="539">
      <c r="A539" s="2" t="n">
        <v>528</v>
      </c>
      <c r="B539" s="12">
        <f>MAX(0,'Deal Analyzer'!$B$4*(1+NORM.INV(RAND(),0,$J$4)))</f>
        <v/>
      </c>
      <c r="C539" s="12">
        <f>'Deal Analyzer'!$B$5*MAX(0.9,1+NORM.INV(RAND(),$J$5,$J$6))</f>
        <v/>
      </c>
      <c r="D539" s="12">
        <f>'Deal Analyzer'!$B$24+C539+B539*'Deal Analyzer'!$B$11</f>
        <v/>
      </c>
      <c r="E539" s="15">
        <f>IF(B539=0,0,(B539-D539)/B539)</f>
        <v/>
      </c>
      <c r="F539" s="2">
        <f>E539&gt;='Deal Analyzer'!$B$12</f>
        <v/>
      </c>
      <c r="G539" s="12">
        <f>IF(AND(F539,RAND()&lt;$J$7),'Deal Analyzer'!$B$8-'Deal Analyzer'!$B$10,-('Deal Analyzer'!$B$10+'Deal Analyzer'!$B$9*'Deal Analyzer'!$B$14))</f>
        <v/>
      </c>
      <c r="H539" s="2" t="n"/>
      <c r="I539" s="2" t="n"/>
      <c r="J539" s="2" t="n"/>
      <c r="K539" s="2" t="n"/>
    </row>
    <row r="540">
      <c r="A540" s="2" t="n">
        <v>529</v>
      </c>
      <c r="B540" s="12">
        <f>MAX(0,'Deal Analyzer'!$B$4*(1+NORM.INV(RAND(),0,$J$4)))</f>
        <v/>
      </c>
      <c r="C540" s="12">
        <f>'Deal Analyzer'!$B$5*MAX(0.9,1+NORM.INV(RAND(),$J$5,$J$6))</f>
        <v/>
      </c>
      <c r="D540" s="12">
        <f>'Deal Analyzer'!$B$24+C540+B540*'Deal Analyzer'!$B$11</f>
        <v/>
      </c>
      <c r="E540" s="15">
        <f>IF(B540=0,0,(B540-D540)/B540)</f>
        <v/>
      </c>
      <c r="F540" s="2">
        <f>E540&gt;='Deal Analyzer'!$B$12</f>
        <v/>
      </c>
      <c r="G540" s="12">
        <f>IF(AND(F540,RAND()&lt;$J$7),'Deal Analyzer'!$B$8-'Deal Analyzer'!$B$10,-('Deal Analyzer'!$B$10+'Deal Analyzer'!$B$9*'Deal Analyzer'!$B$14))</f>
        <v/>
      </c>
      <c r="H540" s="2" t="n"/>
      <c r="I540" s="2" t="n"/>
      <c r="J540" s="2" t="n"/>
      <c r="K540" s="2" t="n"/>
    </row>
    <row r="541">
      <c r="A541" s="2" t="n">
        <v>530</v>
      </c>
      <c r="B541" s="12">
        <f>MAX(0,'Deal Analyzer'!$B$4*(1+NORM.INV(RAND(),0,$J$4)))</f>
        <v/>
      </c>
      <c r="C541" s="12">
        <f>'Deal Analyzer'!$B$5*MAX(0.9,1+NORM.INV(RAND(),$J$5,$J$6))</f>
        <v/>
      </c>
      <c r="D541" s="12">
        <f>'Deal Analyzer'!$B$24+C541+B541*'Deal Analyzer'!$B$11</f>
        <v/>
      </c>
      <c r="E541" s="15">
        <f>IF(B541=0,0,(B541-D541)/B541)</f>
        <v/>
      </c>
      <c r="F541" s="2">
        <f>E541&gt;='Deal Analyzer'!$B$12</f>
        <v/>
      </c>
      <c r="G541" s="12">
        <f>IF(AND(F541,RAND()&lt;$J$7),'Deal Analyzer'!$B$8-'Deal Analyzer'!$B$10,-('Deal Analyzer'!$B$10+'Deal Analyzer'!$B$9*'Deal Analyzer'!$B$14))</f>
        <v/>
      </c>
      <c r="H541" s="2" t="n"/>
      <c r="I541" s="2" t="n"/>
      <c r="J541" s="2" t="n"/>
      <c r="K541" s="2" t="n"/>
    </row>
    <row r="542">
      <c r="A542" s="2" t="n">
        <v>531</v>
      </c>
      <c r="B542" s="12">
        <f>MAX(0,'Deal Analyzer'!$B$4*(1+NORM.INV(RAND(),0,$J$4)))</f>
        <v/>
      </c>
      <c r="C542" s="12">
        <f>'Deal Analyzer'!$B$5*MAX(0.9,1+NORM.INV(RAND(),$J$5,$J$6))</f>
        <v/>
      </c>
      <c r="D542" s="12">
        <f>'Deal Analyzer'!$B$24+C542+B542*'Deal Analyzer'!$B$11</f>
        <v/>
      </c>
      <c r="E542" s="15">
        <f>IF(B542=0,0,(B542-D542)/B542)</f>
        <v/>
      </c>
      <c r="F542" s="2">
        <f>E542&gt;='Deal Analyzer'!$B$12</f>
        <v/>
      </c>
      <c r="G542" s="12">
        <f>IF(AND(F542,RAND()&lt;$J$7),'Deal Analyzer'!$B$8-'Deal Analyzer'!$B$10,-('Deal Analyzer'!$B$10+'Deal Analyzer'!$B$9*'Deal Analyzer'!$B$14))</f>
        <v/>
      </c>
      <c r="H542" s="2" t="n"/>
      <c r="I542" s="2" t="n"/>
      <c r="J542" s="2" t="n"/>
      <c r="K542" s="2" t="n"/>
    </row>
    <row r="543">
      <c r="A543" s="2" t="n">
        <v>532</v>
      </c>
      <c r="B543" s="12">
        <f>MAX(0,'Deal Analyzer'!$B$4*(1+NORM.INV(RAND(),0,$J$4)))</f>
        <v/>
      </c>
      <c r="C543" s="12">
        <f>'Deal Analyzer'!$B$5*MAX(0.9,1+NORM.INV(RAND(),$J$5,$J$6))</f>
        <v/>
      </c>
      <c r="D543" s="12">
        <f>'Deal Analyzer'!$B$24+C543+B543*'Deal Analyzer'!$B$11</f>
        <v/>
      </c>
      <c r="E543" s="15">
        <f>IF(B543=0,0,(B543-D543)/B543)</f>
        <v/>
      </c>
      <c r="F543" s="2">
        <f>E543&gt;='Deal Analyzer'!$B$12</f>
        <v/>
      </c>
      <c r="G543" s="12">
        <f>IF(AND(F543,RAND()&lt;$J$7),'Deal Analyzer'!$B$8-'Deal Analyzer'!$B$10,-('Deal Analyzer'!$B$10+'Deal Analyzer'!$B$9*'Deal Analyzer'!$B$14))</f>
        <v/>
      </c>
      <c r="H543" s="2" t="n"/>
      <c r="I543" s="2" t="n"/>
      <c r="J543" s="2" t="n"/>
      <c r="K543" s="2" t="n"/>
    </row>
    <row r="544">
      <c r="A544" s="2" t="n">
        <v>533</v>
      </c>
      <c r="B544" s="12">
        <f>MAX(0,'Deal Analyzer'!$B$4*(1+NORM.INV(RAND(),0,$J$4)))</f>
        <v/>
      </c>
      <c r="C544" s="12">
        <f>'Deal Analyzer'!$B$5*MAX(0.9,1+NORM.INV(RAND(),$J$5,$J$6))</f>
        <v/>
      </c>
      <c r="D544" s="12">
        <f>'Deal Analyzer'!$B$24+C544+B544*'Deal Analyzer'!$B$11</f>
        <v/>
      </c>
      <c r="E544" s="15">
        <f>IF(B544=0,0,(B544-D544)/B544)</f>
        <v/>
      </c>
      <c r="F544" s="2">
        <f>E544&gt;='Deal Analyzer'!$B$12</f>
        <v/>
      </c>
      <c r="G544" s="12">
        <f>IF(AND(F544,RAND()&lt;$J$7),'Deal Analyzer'!$B$8-'Deal Analyzer'!$B$10,-('Deal Analyzer'!$B$10+'Deal Analyzer'!$B$9*'Deal Analyzer'!$B$14))</f>
        <v/>
      </c>
      <c r="H544" s="2" t="n"/>
      <c r="I544" s="2" t="n"/>
      <c r="J544" s="2" t="n"/>
      <c r="K544" s="2" t="n"/>
    </row>
    <row r="545">
      <c r="A545" s="2" t="n">
        <v>534</v>
      </c>
      <c r="B545" s="12">
        <f>MAX(0,'Deal Analyzer'!$B$4*(1+NORM.INV(RAND(),0,$J$4)))</f>
        <v/>
      </c>
      <c r="C545" s="12">
        <f>'Deal Analyzer'!$B$5*MAX(0.9,1+NORM.INV(RAND(),$J$5,$J$6))</f>
        <v/>
      </c>
      <c r="D545" s="12">
        <f>'Deal Analyzer'!$B$24+C545+B545*'Deal Analyzer'!$B$11</f>
        <v/>
      </c>
      <c r="E545" s="15">
        <f>IF(B545=0,0,(B545-D545)/B545)</f>
        <v/>
      </c>
      <c r="F545" s="2">
        <f>E545&gt;='Deal Analyzer'!$B$12</f>
        <v/>
      </c>
      <c r="G545" s="12">
        <f>IF(AND(F545,RAND()&lt;$J$7),'Deal Analyzer'!$B$8-'Deal Analyzer'!$B$10,-('Deal Analyzer'!$B$10+'Deal Analyzer'!$B$9*'Deal Analyzer'!$B$14))</f>
        <v/>
      </c>
      <c r="H545" s="2" t="n"/>
      <c r="I545" s="2" t="n"/>
      <c r="J545" s="2" t="n"/>
      <c r="K545" s="2" t="n"/>
    </row>
    <row r="546">
      <c r="A546" s="2" t="n">
        <v>535</v>
      </c>
      <c r="B546" s="12">
        <f>MAX(0,'Deal Analyzer'!$B$4*(1+NORM.INV(RAND(),0,$J$4)))</f>
        <v/>
      </c>
      <c r="C546" s="12">
        <f>'Deal Analyzer'!$B$5*MAX(0.9,1+NORM.INV(RAND(),$J$5,$J$6))</f>
        <v/>
      </c>
      <c r="D546" s="12">
        <f>'Deal Analyzer'!$B$24+C546+B546*'Deal Analyzer'!$B$11</f>
        <v/>
      </c>
      <c r="E546" s="15">
        <f>IF(B546=0,0,(B546-D546)/B546)</f>
        <v/>
      </c>
      <c r="F546" s="2">
        <f>E546&gt;='Deal Analyzer'!$B$12</f>
        <v/>
      </c>
      <c r="G546" s="12">
        <f>IF(AND(F546,RAND()&lt;$J$7),'Deal Analyzer'!$B$8-'Deal Analyzer'!$B$10,-('Deal Analyzer'!$B$10+'Deal Analyzer'!$B$9*'Deal Analyzer'!$B$14))</f>
        <v/>
      </c>
      <c r="H546" s="2" t="n"/>
      <c r="I546" s="2" t="n"/>
      <c r="J546" s="2" t="n"/>
      <c r="K546" s="2" t="n"/>
    </row>
    <row r="547">
      <c r="A547" s="2" t="n">
        <v>536</v>
      </c>
      <c r="B547" s="12">
        <f>MAX(0,'Deal Analyzer'!$B$4*(1+NORM.INV(RAND(),0,$J$4)))</f>
        <v/>
      </c>
      <c r="C547" s="12">
        <f>'Deal Analyzer'!$B$5*MAX(0.9,1+NORM.INV(RAND(),$J$5,$J$6))</f>
        <v/>
      </c>
      <c r="D547" s="12">
        <f>'Deal Analyzer'!$B$24+C547+B547*'Deal Analyzer'!$B$11</f>
        <v/>
      </c>
      <c r="E547" s="15">
        <f>IF(B547=0,0,(B547-D547)/B547)</f>
        <v/>
      </c>
      <c r="F547" s="2">
        <f>E547&gt;='Deal Analyzer'!$B$12</f>
        <v/>
      </c>
      <c r="G547" s="12">
        <f>IF(AND(F547,RAND()&lt;$J$7),'Deal Analyzer'!$B$8-'Deal Analyzer'!$B$10,-('Deal Analyzer'!$B$10+'Deal Analyzer'!$B$9*'Deal Analyzer'!$B$14))</f>
        <v/>
      </c>
      <c r="H547" s="2" t="n"/>
      <c r="I547" s="2" t="n"/>
      <c r="J547" s="2" t="n"/>
      <c r="K547" s="2" t="n"/>
    </row>
    <row r="548">
      <c r="A548" s="2" t="n">
        <v>537</v>
      </c>
      <c r="B548" s="12">
        <f>MAX(0,'Deal Analyzer'!$B$4*(1+NORM.INV(RAND(),0,$J$4)))</f>
        <v/>
      </c>
      <c r="C548" s="12">
        <f>'Deal Analyzer'!$B$5*MAX(0.9,1+NORM.INV(RAND(),$J$5,$J$6))</f>
        <v/>
      </c>
      <c r="D548" s="12">
        <f>'Deal Analyzer'!$B$24+C548+B548*'Deal Analyzer'!$B$11</f>
        <v/>
      </c>
      <c r="E548" s="15">
        <f>IF(B548=0,0,(B548-D548)/B548)</f>
        <v/>
      </c>
      <c r="F548" s="2">
        <f>E548&gt;='Deal Analyzer'!$B$12</f>
        <v/>
      </c>
      <c r="G548" s="12">
        <f>IF(AND(F548,RAND()&lt;$J$7),'Deal Analyzer'!$B$8-'Deal Analyzer'!$B$10,-('Deal Analyzer'!$B$10+'Deal Analyzer'!$B$9*'Deal Analyzer'!$B$14))</f>
        <v/>
      </c>
      <c r="H548" s="2" t="n"/>
      <c r="I548" s="2" t="n"/>
      <c r="J548" s="2" t="n"/>
      <c r="K548" s="2" t="n"/>
    </row>
    <row r="549">
      <c r="A549" s="2" t="n">
        <v>538</v>
      </c>
      <c r="B549" s="12">
        <f>MAX(0,'Deal Analyzer'!$B$4*(1+NORM.INV(RAND(),0,$J$4)))</f>
        <v/>
      </c>
      <c r="C549" s="12">
        <f>'Deal Analyzer'!$B$5*MAX(0.9,1+NORM.INV(RAND(),$J$5,$J$6))</f>
        <v/>
      </c>
      <c r="D549" s="12">
        <f>'Deal Analyzer'!$B$24+C549+B549*'Deal Analyzer'!$B$11</f>
        <v/>
      </c>
      <c r="E549" s="15">
        <f>IF(B549=0,0,(B549-D549)/B549)</f>
        <v/>
      </c>
      <c r="F549" s="2">
        <f>E549&gt;='Deal Analyzer'!$B$12</f>
        <v/>
      </c>
      <c r="G549" s="12">
        <f>IF(AND(F549,RAND()&lt;$J$7),'Deal Analyzer'!$B$8-'Deal Analyzer'!$B$10,-('Deal Analyzer'!$B$10+'Deal Analyzer'!$B$9*'Deal Analyzer'!$B$14))</f>
        <v/>
      </c>
      <c r="H549" s="2" t="n"/>
      <c r="I549" s="2" t="n"/>
      <c r="J549" s="2" t="n"/>
      <c r="K549" s="2" t="n"/>
    </row>
    <row r="550">
      <c r="A550" s="2" t="n">
        <v>539</v>
      </c>
      <c r="B550" s="12">
        <f>MAX(0,'Deal Analyzer'!$B$4*(1+NORM.INV(RAND(),0,$J$4)))</f>
        <v/>
      </c>
      <c r="C550" s="12">
        <f>'Deal Analyzer'!$B$5*MAX(0.9,1+NORM.INV(RAND(),$J$5,$J$6))</f>
        <v/>
      </c>
      <c r="D550" s="12">
        <f>'Deal Analyzer'!$B$24+C550+B550*'Deal Analyzer'!$B$11</f>
        <v/>
      </c>
      <c r="E550" s="15">
        <f>IF(B550=0,0,(B550-D550)/B550)</f>
        <v/>
      </c>
      <c r="F550" s="2">
        <f>E550&gt;='Deal Analyzer'!$B$12</f>
        <v/>
      </c>
      <c r="G550" s="12">
        <f>IF(AND(F550,RAND()&lt;$J$7),'Deal Analyzer'!$B$8-'Deal Analyzer'!$B$10,-('Deal Analyzer'!$B$10+'Deal Analyzer'!$B$9*'Deal Analyzer'!$B$14))</f>
        <v/>
      </c>
      <c r="H550" s="2" t="n"/>
      <c r="I550" s="2" t="n"/>
      <c r="J550" s="2" t="n"/>
      <c r="K550" s="2" t="n"/>
    </row>
    <row r="551">
      <c r="A551" s="2" t="n">
        <v>540</v>
      </c>
      <c r="B551" s="12">
        <f>MAX(0,'Deal Analyzer'!$B$4*(1+NORM.INV(RAND(),0,$J$4)))</f>
        <v/>
      </c>
      <c r="C551" s="12">
        <f>'Deal Analyzer'!$B$5*MAX(0.9,1+NORM.INV(RAND(),$J$5,$J$6))</f>
        <v/>
      </c>
      <c r="D551" s="12">
        <f>'Deal Analyzer'!$B$24+C551+B551*'Deal Analyzer'!$B$11</f>
        <v/>
      </c>
      <c r="E551" s="15">
        <f>IF(B551=0,0,(B551-D551)/B551)</f>
        <v/>
      </c>
      <c r="F551" s="2">
        <f>E551&gt;='Deal Analyzer'!$B$12</f>
        <v/>
      </c>
      <c r="G551" s="12">
        <f>IF(AND(F551,RAND()&lt;$J$7),'Deal Analyzer'!$B$8-'Deal Analyzer'!$B$10,-('Deal Analyzer'!$B$10+'Deal Analyzer'!$B$9*'Deal Analyzer'!$B$14))</f>
        <v/>
      </c>
      <c r="H551" s="2" t="n"/>
      <c r="I551" s="2" t="n"/>
      <c r="J551" s="2" t="n"/>
      <c r="K551" s="2" t="n"/>
    </row>
    <row r="552">
      <c r="A552" s="2" t="n">
        <v>541</v>
      </c>
      <c r="B552" s="12">
        <f>MAX(0,'Deal Analyzer'!$B$4*(1+NORM.INV(RAND(),0,$J$4)))</f>
        <v/>
      </c>
      <c r="C552" s="12">
        <f>'Deal Analyzer'!$B$5*MAX(0.9,1+NORM.INV(RAND(),$J$5,$J$6))</f>
        <v/>
      </c>
      <c r="D552" s="12">
        <f>'Deal Analyzer'!$B$24+C552+B552*'Deal Analyzer'!$B$11</f>
        <v/>
      </c>
      <c r="E552" s="15">
        <f>IF(B552=0,0,(B552-D552)/B552)</f>
        <v/>
      </c>
      <c r="F552" s="2">
        <f>E552&gt;='Deal Analyzer'!$B$12</f>
        <v/>
      </c>
      <c r="G552" s="12">
        <f>IF(AND(F552,RAND()&lt;$J$7),'Deal Analyzer'!$B$8-'Deal Analyzer'!$B$10,-('Deal Analyzer'!$B$10+'Deal Analyzer'!$B$9*'Deal Analyzer'!$B$14))</f>
        <v/>
      </c>
      <c r="H552" s="2" t="n"/>
      <c r="I552" s="2" t="n"/>
      <c r="J552" s="2" t="n"/>
      <c r="K552" s="2" t="n"/>
    </row>
    <row r="553">
      <c r="A553" s="2" t="n">
        <v>542</v>
      </c>
      <c r="B553" s="12">
        <f>MAX(0,'Deal Analyzer'!$B$4*(1+NORM.INV(RAND(),0,$J$4)))</f>
        <v/>
      </c>
      <c r="C553" s="12">
        <f>'Deal Analyzer'!$B$5*MAX(0.9,1+NORM.INV(RAND(),$J$5,$J$6))</f>
        <v/>
      </c>
      <c r="D553" s="12">
        <f>'Deal Analyzer'!$B$24+C553+B553*'Deal Analyzer'!$B$11</f>
        <v/>
      </c>
      <c r="E553" s="15">
        <f>IF(B553=0,0,(B553-D553)/B553)</f>
        <v/>
      </c>
      <c r="F553" s="2">
        <f>E553&gt;='Deal Analyzer'!$B$12</f>
        <v/>
      </c>
      <c r="G553" s="12">
        <f>IF(AND(F553,RAND()&lt;$J$7),'Deal Analyzer'!$B$8-'Deal Analyzer'!$B$10,-('Deal Analyzer'!$B$10+'Deal Analyzer'!$B$9*'Deal Analyzer'!$B$14))</f>
        <v/>
      </c>
      <c r="H553" s="2" t="n"/>
      <c r="I553" s="2" t="n"/>
      <c r="J553" s="2" t="n"/>
      <c r="K553" s="2" t="n"/>
    </row>
    <row r="554">
      <c r="A554" s="2" t="n">
        <v>543</v>
      </c>
      <c r="B554" s="12">
        <f>MAX(0,'Deal Analyzer'!$B$4*(1+NORM.INV(RAND(),0,$J$4)))</f>
        <v/>
      </c>
      <c r="C554" s="12">
        <f>'Deal Analyzer'!$B$5*MAX(0.9,1+NORM.INV(RAND(),$J$5,$J$6))</f>
        <v/>
      </c>
      <c r="D554" s="12">
        <f>'Deal Analyzer'!$B$24+C554+B554*'Deal Analyzer'!$B$11</f>
        <v/>
      </c>
      <c r="E554" s="15">
        <f>IF(B554=0,0,(B554-D554)/B554)</f>
        <v/>
      </c>
      <c r="F554" s="2">
        <f>E554&gt;='Deal Analyzer'!$B$12</f>
        <v/>
      </c>
      <c r="G554" s="12">
        <f>IF(AND(F554,RAND()&lt;$J$7),'Deal Analyzer'!$B$8-'Deal Analyzer'!$B$10,-('Deal Analyzer'!$B$10+'Deal Analyzer'!$B$9*'Deal Analyzer'!$B$14))</f>
        <v/>
      </c>
      <c r="H554" s="2" t="n"/>
      <c r="I554" s="2" t="n"/>
      <c r="J554" s="2" t="n"/>
      <c r="K554" s="2" t="n"/>
    </row>
    <row r="555">
      <c r="A555" s="2" t="n">
        <v>544</v>
      </c>
      <c r="B555" s="12">
        <f>MAX(0,'Deal Analyzer'!$B$4*(1+NORM.INV(RAND(),0,$J$4)))</f>
        <v/>
      </c>
      <c r="C555" s="12">
        <f>'Deal Analyzer'!$B$5*MAX(0.9,1+NORM.INV(RAND(),$J$5,$J$6))</f>
        <v/>
      </c>
      <c r="D555" s="12">
        <f>'Deal Analyzer'!$B$24+C555+B555*'Deal Analyzer'!$B$11</f>
        <v/>
      </c>
      <c r="E555" s="15">
        <f>IF(B555=0,0,(B555-D555)/B555)</f>
        <v/>
      </c>
      <c r="F555" s="2">
        <f>E555&gt;='Deal Analyzer'!$B$12</f>
        <v/>
      </c>
      <c r="G555" s="12">
        <f>IF(AND(F555,RAND()&lt;$J$7),'Deal Analyzer'!$B$8-'Deal Analyzer'!$B$10,-('Deal Analyzer'!$B$10+'Deal Analyzer'!$B$9*'Deal Analyzer'!$B$14))</f>
        <v/>
      </c>
      <c r="H555" s="2" t="n"/>
      <c r="I555" s="2" t="n"/>
      <c r="J555" s="2" t="n"/>
      <c r="K555" s="2" t="n"/>
    </row>
    <row r="556">
      <c r="A556" s="2" t="n">
        <v>545</v>
      </c>
      <c r="B556" s="12">
        <f>MAX(0,'Deal Analyzer'!$B$4*(1+NORM.INV(RAND(),0,$J$4)))</f>
        <v/>
      </c>
      <c r="C556" s="12">
        <f>'Deal Analyzer'!$B$5*MAX(0.9,1+NORM.INV(RAND(),$J$5,$J$6))</f>
        <v/>
      </c>
      <c r="D556" s="12">
        <f>'Deal Analyzer'!$B$24+C556+B556*'Deal Analyzer'!$B$11</f>
        <v/>
      </c>
      <c r="E556" s="15">
        <f>IF(B556=0,0,(B556-D556)/B556)</f>
        <v/>
      </c>
      <c r="F556" s="2">
        <f>E556&gt;='Deal Analyzer'!$B$12</f>
        <v/>
      </c>
      <c r="G556" s="12">
        <f>IF(AND(F556,RAND()&lt;$J$7),'Deal Analyzer'!$B$8-'Deal Analyzer'!$B$10,-('Deal Analyzer'!$B$10+'Deal Analyzer'!$B$9*'Deal Analyzer'!$B$14))</f>
        <v/>
      </c>
      <c r="H556" s="2" t="n"/>
      <c r="I556" s="2" t="n"/>
      <c r="J556" s="2" t="n"/>
      <c r="K556" s="2" t="n"/>
    </row>
    <row r="557">
      <c r="A557" s="2" t="n">
        <v>546</v>
      </c>
      <c r="B557" s="12">
        <f>MAX(0,'Deal Analyzer'!$B$4*(1+NORM.INV(RAND(),0,$J$4)))</f>
        <v/>
      </c>
      <c r="C557" s="12">
        <f>'Deal Analyzer'!$B$5*MAX(0.9,1+NORM.INV(RAND(),$J$5,$J$6))</f>
        <v/>
      </c>
      <c r="D557" s="12">
        <f>'Deal Analyzer'!$B$24+C557+B557*'Deal Analyzer'!$B$11</f>
        <v/>
      </c>
      <c r="E557" s="15">
        <f>IF(B557=0,0,(B557-D557)/B557)</f>
        <v/>
      </c>
      <c r="F557" s="2">
        <f>E557&gt;='Deal Analyzer'!$B$12</f>
        <v/>
      </c>
      <c r="G557" s="12">
        <f>IF(AND(F557,RAND()&lt;$J$7),'Deal Analyzer'!$B$8-'Deal Analyzer'!$B$10,-('Deal Analyzer'!$B$10+'Deal Analyzer'!$B$9*'Deal Analyzer'!$B$14))</f>
        <v/>
      </c>
      <c r="H557" s="2" t="n"/>
      <c r="I557" s="2" t="n"/>
      <c r="J557" s="2" t="n"/>
      <c r="K557" s="2" t="n"/>
    </row>
    <row r="558">
      <c r="A558" s="2" t="n">
        <v>547</v>
      </c>
      <c r="B558" s="12">
        <f>MAX(0,'Deal Analyzer'!$B$4*(1+NORM.INV(RAND(),0,$J$4)))</f>
        <v/>
      </c>
      <c r="C558" s="12">
        <f>'Deal Analyzer'!$B$5*MAX(0.9,1+NORM.INV(RAND(),$J$5,$J$6))</f>
        <v/>
      </c>
      <c r="D558" s="12">
        <f>'Deal Analyzer'!$B$24+C558+B558*'Deal Analyzer'!$B$11</f>
        <v/>
      </c>
      <c r="E558" s="15">
        <f>IF(B558=0,0,(B558-D558)/B558)</f>
        <v/>
      </c>
      <c r="F558" s="2">
        <f>E558&gt;='Deal Analyzer'!$B$12</f>
        <v/>
      </c>
      <c r="G558" s="12">
        <f>IF(AND(F558,RAND()&lt;$J$7),'Deal Analyzer'!$B$8-'Deal Analyzer'!$B$10,-('Deal Analyzer'!$B$10+'Deal Analyzer'!$B$9*'Deal Analyzer'!$B$14))</f>
        <v/>
      </c>
      <c r="H558" s="2" t="n"/>
      <c r="I558" s="2" t="n"/>
      <c r="J558" s="2" t="n"/>
      <c r="K558" s="2" t="n"/>
    </row>
    <row r="559">
      <c r="A559" s="2" t="n">
        <v>548</v>
      </c>
      <c r="B559" s="12">
        <f>MAX(0,'Deal Analyzer'!$B$4*(1+NORM.INV(RAND(),0,$J$4)))</f>
        <v/>
      </c>
      <c r="C559" s="12">
        <f>'Deal Analyzer'!$B$5*MAX(0.9,1+NORM.INV(RAND(),$J$5,$J$6))</f>
        <v/>
      </c>
      <c r="D559" s="12">
        <f>'Deal Analyzer'!$B$24+C559+B559*'Deal Analyzer'!$B$11</f>
        <v/>
      </c>
      <c r="E559" s="15">
        <f>IF(B559=0,0,(B559-D559)/B559)</f>
        <v/>
      </c>
      <c r="F559" s="2">
        <f>E559&gt;='Deal Analyzer'!$B$12</f>
        <v/>
      </c>
      <c r="G559" s="12">
        <f>IF(AND(F559,RAND()&lt;$J$7),'Deal Analyzer'!$B$8-'Deal Analyzer'!$B$10,-('Deal Analyzer'!$B$10+'Deal Analyzer'!$B$9*'Deal Analyzer'!$B$14))</f>
        <v/>
      </c>
      <c r="H559" s="2" t="n"/>
      <c r="I559" s="2" t="n"/>
      <c r="J559" s="2" t="n"/>
      <c r="K559" s="2" t="n"/>
    </row>
    <row r="560">
      <c r="A560" s="2" t="n">
        <v>549</v>
      </c>
      <c r="B560" s="12">
        <f>MAX(0,'Deal Analyzer'!$B$4*(1+NORM.INV(RAND(),0,$J$4)))</f>
        <v/>
      </c>
      <c r="C560" s="12">
        <f>'Deal Analyzer'!$B$5*MAX(0.9,1+NORM.INV(RAND(),$J$5,$J$6))</f>
        <v/>
      </c>
      <c r="D560" s="12">
        <f>'Deal Analyzer'!$B$24+C560+B560*'Deal Analyzer'!$B$11</f>
        <v/>
      </c>
      <c r="E560" s="15">
        <f>IF(B560=0,0,(B560-D560)/B560)</f>
        <v/>
      </c>
      <c r="F560" s="2">
        <f>E560&gt;='Deal Analyzer'!$B$12</f>
        <v/>
      </c>
      <c r="G560" s="12">
        <f>IF(AND(F560,RAND()&lt;$J$7),'Deal Analyzer'!$B$8-'Deal Analyzer'!$B$10,-('Deal Analyzer'!$B$10+'Deal Analyzer'!$B$9*'Deal Analyzer'!$B$14))</f>
        <v/>
      </c>
      <c r="H560" s="2" t="n"/>
      <c r="I560" s="2" t="n"/>
      <c r="J560" s="2" t="n"/>
      <c r="K560" s="2" t="n"/>
    </row>
    <row r="561">
      <c r="A561" s="2" t="n">
        <v>550</v>
      </c>
      <c r="B561" s="12">
        <f>MAX(0,'Deal Analyzer'!$B$4*(1+NORM.INV(RAND(),0,$J$4)))</f>
        <v/>
      </c>
      <c r="C561" s="12">
        <f>'Deal Analyzer'!$B$5*MAX(0.9,1+NORM.INV(RAND(),$J$5,$J$6))</f>
        <v/>
      </c>
      <c r="D561" s="12">
        <f>'Deal Analyzer'!$B$24+C561+B561*'Deal Analyzer'!$B$11</f>
        <v/>
      </c>
      <c r="E561" s="15">
        <f>IF(B561=0,0,(B561-D561)/B561)</f>
        <v/>
      </c>
      <c r="F561" s="2">
        <f>E561&gt;='Deal Analyzer'!$B$12</f>
        <v/>
      </c>
      <c r="G561" s="12">
        <f>IF(AND(F561,RAND()&lt;$J$7),'Deal Analyzer'!$B$8-'Deal Analyzer'!$B$10,-('Deal Analyzer'!$B$10+'Deal Analyzer'!$B$9*'Deal Analyzer'!$B$14))</f>
        <v/>
      </c>
      <c r="H561" s="2" t="n"/>
      <c r="I561" s="2" t="n"/>
      <c r="J561" s="2" t="n"/>
      <c r="K561" s="2" t="n"/>
    </row>
    <row r="562">
      <c r="A562" s="2" t="n">
        <v>551</v>
      </c>
      <c r="B562" s="12">
        <f>MAX(0,'Deal Analyzer'!$B$4*(1+NORM.INV(RAND(),0,$J$4)))</f>
        <v/>
      </c>
      <c r="C562" s="12">
        <f>'Deal Analyzer'!$B$5*MAX(0.9,1+NORM.INV(RAND(),$J$5,$J$6))</f>
        <v/>
      </c>
      <c r="D562" s="12">
        <f>'Deal Analyzer'!$B$24+C562+B562*'Deal Analyzer'!$B$11</f>
        <v/>
      </c>
      <c r="E562" s="15">
        <f>IF(B562=0,0,(B562-D562)/B562)</f>
        <v/>
      </c>
      <c r="F562" s="2">
        <f>E562&gt;='Deal Analyzer'!$B$12</f>
        <v/>
      </c>
      <c r="G562" s="12">
        <f>IF(AND(F562,RAND()&lt;$J$7),'Deal Analyzer'!$B$8-'Deal Analyzer'!$B$10,-('Deal Analyzer'!$B$10+'Deal Analyzer'!$B$9*'Deal Analyzer'!$B$14))</f>
        <v/>
      </c>
      <c r="H562" s="2" t="n"/>
      <c r="I562" s="2" t="n"/>
      <c r="J562" s="2" t="n"/>
      <c r="K562" s="2" t="n"/>
    </row>
    <row r="563">
      <c r="A563" s="2" t="n">
        <v>552</v>
      </c>
      <c r="B563" s="12">
        <f>MAX(0,'Deal Analyzer'!$B$4*(1+NORM.INV(RAND(),0,$J$4)))</f>
        <v/>
      </c>
      <c r="C563" s="12">
        <f>'Deal Analyzer'!$B$5*MAX(0.9,1+NORM.INV(RAND(),$J$5,$J$6))</f>
        <v/>
      </c>
      <c r="D563" s="12">
        <f>'Deal Analyzer'!$B$24+C563+B563*'Deal Analyzer'!$B$11</f>
        <v/>
      </c>
      <c r="E563" s="15">
        <f>IF(B563=0,0,(B563-D563)/B563)</f>
        <v/>
      </c>
      <c r="F563" s="2">
        <f>E563&gt;='Deal Analyzer'!$B$12</f>
        <v/>
      </c>
      <c r="G563" s="12">
        <f>IF(AND(F563,RAND()&lt;$J$7),'Deal Analyzer'!$B$8-'Deal Analyzer'!$B$10,-('Deal Analyzer'!$B$10+'Deal Analyzer'!$B$9*'Deal Analyzer'!$B$14))</f>
        <v/>
      </c>
      <c r="H563" s="2" t="n"/>
      <c r="I563" s="2" t="n"/>
      <c r="J563" s="2" t="n"/>
      <c r="K563" s="2" t="n"/>
    </row>
    <row r="564">
      <c r="A564" s="2" t="n">
        <v>553</v>
      </c>
      <c r="B564" s="12">
        <f>MAX(0,'Deal Analyzer'!$B$4*(1+NORM.INV(RAND(),0,$J$4)))</f>
        <v/>
      </c>
      <c r="C564" s="12">
        <f>'Deal Analyzer'!$B$5*MAX(0.9,1+NORM.INV(RAND(),$J$5,$J$6))</f>
        <v/>
      </c>
      <c r="D564" s="12">
        <f>'Deal Analyzer'!$B$24+C564+B564*'Deal Analyzer'!$B$11</f>
        <v/>
      </c>
      <c r="E564" s="15">
        <f>IF(B564=0,0,(B564-D564)/B564)</f>
        <v/>
      </c>
      <c r="F564" s="2">
        <f>E564&gt;='Deal Analyzer'!$B$12</f>
        <v/>
      </c>
      <c r="G564" s="12">
        <f>IF(AND(F564,RAND()&lt;$J$7),'Deal Analyzer'!$B$8-'Deal Analyzer'!$B$10,-('Deal Analyzer'!$B$10+'Deal Analyzer'!$B$9*'Deal Analyzer'!$B$14))</f>
        <v/>
      </c>
      <c r="H564" s="2" t="n"/>
      <c r="I564" s="2" t="n"/>
      <c r="J564" s="2" t="n"/>
      <c r="K564" s="2" t="n"/>
    </row>
    <row r="565">
      <c r="A565" s="2" t="n">
        <v>554</v>
      </c>
      <c r="B565" s="12">
        <f>MAX(0,'Deal Analyzer'!$B$4*(1+NORM.INV(RAND(),0,$J$4)))</f>
        <v/>
      </c>
      <c r="C565" s="12">
        <f>'Deal Analyzer'!$B$5*MAX(0.9,1+NORM.INV(RAND(),$J$5,$J$6))</f>
        <v/>
      </c>
      <c r="D565" s="12">
        <f>'Deal Analyzer'!$B$24+C565+B565*'Deal Analyzer'!$B$11</f>
        <v/>
      </c>
      <c r="E565" s="15">
        <f>IF(B565=0,0,(B565-D565)/B565)</f>
        <v/>
      </c>
      <c r="F565" s="2">
        <f>E565&gt;='Deal Analyzer'!$B$12</f>
        <v/>
      </c>
      <c r="G565" s="12">
        <f>IF(AND(F565,RAND()&lt;$J$7),'Deal Analyzer'!$B$8-'Deal Analyzer'!$B$10,-('Deal Analyzer'!$B$10+'Deal Analyzer'!$B$9*'Deal Analyzer'!$B$14))</f>
        <v/>
      </c>
      <c r="H565" s="2" t="n"/>
      <c r="I565" s="2" t="n"/>
      <c r="J565" s="2" t="n"/>
      <c r="K565" s="2" t="n"/>
    </row>
    <row r="566">
      <c r="A566" s="2" t="n">
        <v>555</v>
      </c>
      <c r="B566" s="12">
        <f>MAX(0,'Deal Analyzer'!$B$4*(1+NORM.INV(RAND(),0,$J$4)))</f>
        <v/>
      </c>
      <c r="C566" s="12">
        <f>'Deal Analyzer'!$B$5*MAX(0.9,1+NORM.INV(RAND(),$J$5,$J$6))</f>
        <v/>
      </c>
      <c r="D566" s="12">
        <f>'Deal Analyzer'!$B$24+C566+B566*'Deal Analyzer'!$B$11</f>
        <v/>
      </c>
      <c r="E566" s="15">
        <f>IF(B566=0,0,(B566-D566)/B566)</f>
        <v/>
      </c>
      <c r="F566" s="2">
        <f>E566&gt;='Deal Analyzer'!$B$12</f>
        <v/>
      </c>
      <c r="G566" s="12">
        <f>IF(AND(F566,RAND()&lt;$J$7),'Deal Analyzer'!$B$8-'Deal Analyzer'!$B$10,-('Deal Analyzer'!$B$10+'Deal Analyzer'!$B$9*'Deal Analyzer'!$B$14))</f>
        <v/>
      </c>
      <c r="H566" s="2" t="n"/>
      <c r="I566" s="2" t="n"/>
      <c r="J566" s="2" t="n"/>
      <c r="K566" s="2" t="n"/>
    </row>
    <row r="567">
      <c r="A567" s="2" t="n">
        <v>556</v>
      </c>
      <c r="B567" s="12">
        <f>MAX(0,'Deal Analyzer'!$B$4*(1+NORM.INV(RAND(),0,$J$4)))</f>
        <v/>
      </c>
      <c r="C567" s="12">
        <f>'Deal Analyzer'!$B$5*MAX(0.9,1+NORM.INV(RAND(),$J$5,$J$6))</f>
        <v/>
      </c>
      <c r="D567" s="12">
        <f>'Deal Analyzer'!$B$24+C567+B567*'Deal Analyzer'!$B$11</f>
        <v/>
      </c>
      <c r="E567" s="15">
        <f>IF(B567=0,0,(B567-D567)/B567)</f>
        <v/>
      </c>
      <c r="F567" s="2">
        <f>E567&gt;='Deal Analyzer'!$B$12</f>
        <v/>
      </c>
      <c r="G567" s="12">
        <f>IF(AND(F567,RAND()&lt;$J$7),'Deal Analyzer'!$B$8-'Deal Analyzer'!$B$10,-('Deal Analyzer'!$B$10+'Deal Analyzer'!$B$9*'Deal Analyzer'!$B$14))</f>
        <v/>
      </c>
      <c r="H567" s="2" t="n"/>
      <c r="I567" s="2" t="n"/>
      <c r="J567" s="2" t="n"/>
      <c r="K567" s="2" t="n"/>
    </row>
    <row r="568">
      <c r="A568" s="2" t="n">
        <v>557</v>
      </c>
      <c r="B568" s="12">
        <f>MAX(0,'Deal Analyzer'!$B$4*(1+NORM.INV(RAND(),0,$J$4)))</f>
        <v/>
      </c>
      <c r="C568" s="12">
        <f>'Deal Analyzer'!$B$5*MAX(0.9,1+NORM.INV(RAND(),$J$5,$J$6))</f>
        <v/>
      </c>
      <c r="D568" s="12">
        <f>'Deal Analyzer'!$B$24+C568+B568*'Deal Analyzer'!$B$11</f>
        <v/>
      </c>
      <c r="E568" s="15">
        <f>IF(B568=0,0,(B568-D568)/B568)</f>
        <v/>
      </c>
      <c r="F568" s="2">
        <f>E568&gt;='Deal Analyzer'!$B$12</f>
        <v/>
      </c>
      <c r="G568" s="12">
        <f>IF(AND(F568,RAND()&lt;$J$7),'Deal Analyzer'!$B$8-'Deal Analyzer'!$B$10,-('Deal Analyzer'!$B$10+'Deal Analyzer'!$B$9*'Deal Analyzer'!$B$14))</f>
        <v/>
      </c>
      <c r="H568" s="2" t="n"/>
      <c r="I568" s="2" t="n"/>
      <c r="J568" s="2" t="n"/>
      <c r="K568" s="2" t="n"/>
    </row>
    <row r="569">
      <c r="A569" s="2" t="n">
        <v>558</v>
      </c>
      <c r="B569" s="12">
        <f>MAX(0,'Deal Analyzer'!$B$4*(1+NORM.INV(RAND(),0,$J$4)))</f>
        <v/>
      </c>
      <c r="C569" s="12">
        <f>'Deal Analyzer'!$B$5*MAX(0.9,1+NORM.INV(RAND(),$J$5,$J$6))</f>
        <v/>
      </c>
      <c r="D569" s="12">
        <f>'Deal Analyzer'!$B$24+C569+B569*'Deal Analyzer'!$B$11</f>
        <v/>
      </c>
      <c r="E569" s="15">
        <f>IF(B569=0,0,(B569-D569)/B569)</f>
        <v/>
      </c>
      <c r="F569" s="2">
        <f>E569&gt;='Deal Analyzer'!$B$12</f>
        <v/>
      </c>
      <c r="G569" s="12">
        <f>IF(AND(F569,RAND()&lt;$J$7),'Deal Analyzer'!$B$8-'Deal Analyzer'!$B$10,-('Deal Analyzer'!$B$10+'Deal Analyzer'!$B$9*'Deal Analyzer'!$B$14))</f>
        <v/>
      </c>
      <c r="H569" s="2" t="n"/>
      <c r="I569" s="2" t="n"/>
      <c r="J569" s="2" t="n"/>
      <c r="K569" s="2" t="n"/>
    </row>
    <row r="570">
      <c r="A570" s="2" t="n">
        <v>559</v>
      </c>
      <c r="B570" s="12">
        <f>MAX(0,'Deal Analyzer'!$B$4*(1+NORM.INV(RAND(),0,$J$4)))</f>
        <v/>
      </c>
      <c r="C570" s="12">
        <f>'Deal Analyzer'!$B$5*MAX(0.9,1+NORM.INV(RAND(),$J$5,$J$6))</f>
        <v/>
      </c>
      <c r="D570" s="12">
        <f>'Deal Analyzer'!$B$24+C570+B570*'Deal Analyzer'!$B$11</f>
        <v/>
      </c>
      <c r="E570" s="15">
        <f>IF(B570=0,0,(B570-D570)/B570)</f>
        <v/>
      </c>
      <c r="F570" s="2">
        <f>E570&gt;='Deal Analyzer'!$B$12</f>
        <v/>
      </c>
      <c r="G570" s="12">
        <f>IF(AND(F570,RAND()&lt;$J$7),'Deal Analyzer'!$B$8-'Deal Analyzer'!$B$10,-('Deal Analyzer'!$B$10+'Deal Analyzer'!$B$9*'Deal Analyzer'!$B$14))</f>
        <v/>
      </c>
      <c r="H570" s="2" t="n"/>
      <c r="I570" s="2" t="n"/>
      <c r="J570" s="2" t="n"/>
      <c r="K570" s="2" t="n"/>
    </row>
    <row r="571">
      <c r="A571" s="2" t="n">
        <v>560</v>
      </c>
      <c r="B571" s="12">
        <f>MAX(0,'Deal Analyzer'!$B$4*(1+NORM.INV(RAND(),0,$J$4)))</f>
        <v/>
      </c>
      <c r="C571" s="12">
        <f>'Deal Analyzer'!$B$5*MAX(0.9,1+NORM.INV(RAND(),$J$5,$J$6))</f>
        <v/>
      </c>
      <c r="D571" s="12">
        <f>'Deal Analyzer'!$B$24+C571+B571*'Deal Analyzer'!$B$11</f>
        <v/>
      </c>
      <c r="E571" s="15">
        <f>IF(B571=0,0,(B571-D571)/B571)</f>
        <v/>
      </c>
      <c r="F571" s="2">
        <f>E571&gt;='Deal Analyzer'!$B$12</f>
        <v/>
      </c>
      <c r="G571" s="12">
        <f>IF(AND(F571,RAND()&lt;$J$7),'Deal Analyzer'!$B$8-'Deal Analyzer'!$B$10,-('Deal Analyzer'!$B$10+'Deal Analyzer'!$B$9*'Deal Analyzer'!$B$14))</f>
        <v/>
      </c>
      <c r="H571" s="2" t="n"/>
      <c r="I571" s="2" t="n"/>
      <c r="J571" s="2" t="n"/>
      <c r="K571" s="2" t="n"/>
    </row>
    <row r="572">
      <c r="A572" s="2" t="n">
        <v>561</v>
      </c>
      <c r="B572" s="12">
        <f>MAX(0,'Deal Analyzer'!$B$4*(1+NORM.INV(RAND(),0,$J$4)))</f>
        <v/>
      </c>
      <c r="C572" s="12">
        <f>'Deal Analyzer'!$B$5*MAX(0.9,1+NORM.INV(RAND(),$J$5,$J$6))</f>
        <v/>
      </c>
      <c r="D572" s="12">
        <f>'Deal Analyzer'!$B$24+C572+B572*'Deal Analyzer'!$B$11</f>
        <v/>
      </c>
      <c r="E572" s="15">
        <f>IF(B572=0,0,(B572-D572)/B572)</f>
        <v/>
      </c>
      <c r="F572" s="2">
        <f>E572&gt;='Deal Analyzer'!$B$12</f>
        <v/>
      </c>
      <c r="G572" s="12">
        <f>IF(AND(F572,RAND()&lt;$J$7),'Deal Analyzer'!$B$8-'Deal Analyzer'!$B$10,-('Deal Analyzer'!$B$10+'Deal Analyzer'!$B$9*'Deal Analyzer'!$B$14))</f>
        <v/>
      </c>
      <c r="H572" s="2" t="n"/>
      <c r="I572" s="2" t="n"/>
      <c r="J572" s="2" t="n"/>
      <c r="K572" s="2" t="n"/>
    </row>
    <row r="573">
      <c r="A573" s="2" t="n">
        <v>562</v>
      </c>
      <c r="B573" s="12">
        <f>MAX(0,'Deal Analyzer'!$B$4*(1+NORM.INV(RAND(),0,$J$4)))</f>
        <v/>
      </c>
      <c r="C573" s="12">
        <f>'Deal Analyzer'!$B$5*MAX(0.9,1+NORM.INV(RAND(),$J$5,$J$6))</f>
        <v/>
      </c>
      <c r="D573" s="12">
        <f>'Deal Analyzer'!$B$24+C573+B573*'Deal Analyzer'!$B$11</f>
        <v/>
      </c>
      <c r="E573" s="15">
        <f>IF(B573=0,0,(B573-D573)/B573)</f>
        <v/>
      </c>
      <c r="F573" s="2">
        <f>E573&gt;='Deal Analyzer'!$B$12</f>
        <v/>
      </c>
      <c r="G573" s="12">
        <f>IF(AND(F573,RAND()&lt;$J$7),'Deal Analyzer'!$B$8-'Deal Analyzer'!$B$10,-('Deal Analyzer'!$B$10+'Deal Analyzer'!$B$9*'Deal Analyzer'!$B$14))</f>
        <v/>
      </c>
      <c r="H573" s="2" t="n"/>
      <c r="I573" s="2" t="n"/>
      <c r="J573" s="2" t="n"/>
      <c r="K573" s="2" t="n"/>
    </row>
    <row r="574">
      <c r="A574" s="2" t="n">
        <v>563</v>
      </c>
      <c r="B574" s="12">
        <f>MAX(0,'Deal Analyzer'!$B$4*(1+NORM.INV(RAND(),0,$J$4)))</f>
        <v/>
      </c>
      <c r="C574" s="12">
        <f>'Deal Analyzer'!$B$5*MAX(0.9,1+NORM.INV(RAND(),$J$5,$J$6))</f>
        <v/>
      </c>
      <c r="D574" s="12">
        <f>'Deal Analyzer'!$B$24+C574+B574*'Deal Analyzer'!$B$11</f>
        <v/>
      </c>
      <c r="E574" s="15">
        <f>IF(B574=0,0,(B574-D574)/B574)</f>
        <v/>
      </c>
      <c r="F574" s="2">
        <f>E574&gt;='Deal Analyzer'!$B$12</f>
        <v/>
      </c>
      <c r="G574" s="12">
        <f>IF(AND(F574,RAND()&lt;$J$7),'Deal Analyzer'!$B$8-'Deal Analyzer'!$B$10,-('Deal Analyzer'!$B$10+'Deal Analyzer'!$B$9*'Deal Analyzer'!$B$14))</f>
        <v/>
      </c>
      <c r="H574" s="2" t="n"/>
      <c r="I574" s="2" t="n"/>
      <c r="J574" s="2" t="n"/>
      <c r="K574" s="2" t="n"/>
    </row>
    <row r="575">
      <c r="A575" s="2" t="n">
        <v>564</v>
      </c>
      <c r="B575" s="12">
        <f>MAX(0,'Deal Analyzer'!$B$4*(1+NORM.INV(RAND(),0,$J$4)))</f>
        <v/>
      </c>
      <c r="C575" s="12">
        <f>'Deal Analyzer'!$B$5*MAX(0.9,1+NORM.INV(RAND(),$J$5,$J$6))</f>
        <v/>
      </c>
      <c r="D575" s="12">
        <f>'Deal Analyzer'!$B$24+C575+B575*'Deal Analyzer'!$B$11</f>
        <v/>
      </c>
      <c r="E575" s="15">
        <f>IF(B575=0,0,(B575-D575)/B575)</f>
        <v/>
      </c>
      <c r="F575" s="2">
        <f>E575&gt;='Deal Analyzer'!$B$12</f>
        <v/>
      </c>
      <c r="G575" s="12">
        <f>IF(AND(F575,RAND()&lt;$J$7),'Deal Analyzer'!$B$8-'Deal Analyzer'!$B$10,-('Deal Analyzer'!$B$10+'Deal Analyzer'!$B$9*'Deal Analyzer'!$B$14))</f>
        <v/>
      </c>
      <c r="H575" s="2" t="n"/>
      <c r="I575" s="2" t="n"/>
      <c r="J575" s="2" t="n"/>
      <c r="K575" s="2" t="n"/>
    </row>
    <row r="576">
      <c r="A576" s="2" t="n">
        <v>565</v>
      </c>
      <c r="B576" s="12">
        <f>MAX(0,'Deal Analyzer'!$B$4*(1+NORM.INV(RAND(),0,$J$4)))</f>
        <v/>
      </c>
      <c r="C576" s="12">
        <f>'Deal Analyzer'!$B$5*MAX(0.9,1+NORM.INV(RAND(),$J$5,$J$6))</f>
        <v/>
      </c>
      <c r="D576" s="12">
        <f>'Deal Analyzer'!$B$24+C576+B576*'Deal Analyzer'!$B$11</f>
        <v/>
      </c>
      <c r="E576" s="15">
        <f>IF(B576=0,0,(B576-D576)/B576)</f>
        <v/>
      </c>
      <c r="F576" s="2">
        <f>E576&gt;='Deal Analyzer'!$B$12</f>
        <v/>
      </c>
      <c r="G576" s="12">
        <f>IF(AND(F576,RAND()&lt;$J$7),'Deal Analyzer'!$B$8-'Deal Analyzer'!$B$10,-('Deal Analyzer'!$B$10+'Deal Analyzer'!$B$9*'Deal Analyzer'!$B$14))</f>
        <v/>
      </c>
      <c r="H576" s="2" t="n"/>
      <c r="I576" s="2" t="n"/>
      <c r="J576" s="2" t="n"/>
      <c r="K576" s="2" t="n"/>
    </row>
    <row r="577">
      <c r="A577" s="2" t="n">
        <v>566</v>
      </c>
      <c r="B577" s="12">
        <f>MAX(0,'Deal Analyzer'!$B$4*(1+NORM.INV(RAND(),0,$J$4)))</f>
        <v/>
      </c>
      <c r="C577" s="12">
        <f>'Deal Analyzer'!$B$5*MAX(0.9,1+NORM.INV(RAND(),$J$5,$J$6))</f>
        <v/>
      </c>
      <c r="D577" s="12">
        <f>'Deal Analyzer'!$B$24+C577+B577*'Deal Analyzer'!$B$11</f>
        <v/>
      </c>
      <c r="E577" s="15">
        <f>IF(B577=0,0,(B577-D577)/B577)</f>
        <v/>
      </c>
      <c r="F577" s="2">
        <f>E577&gt;='Deal Analyzer'!$B$12</f>
        <v/>
      </c>
      <c r="G577" s="12">
        <f>IF(AND(F577,RAND()&lt;$J$7),'Deal Analyzer'!$B$8-'Deal Analyzer'!$B$10,-('Deal Analyzer'!$B$10+'Deal Analyzer'!$B$9*'Deal Analyzer'!$B$14))</f>
        <v/>
      </c>
      <c r="H577" s="2" t="n"/>
      <c r="I577" s="2" t="n"/>
      <c r="J577" s="2" t="n"/>
      <c r="K577" s="2" t="n"/>
    </row>
    <row r="578">
      <c r="A578" s="2" t="n">
        <v>567</v>
      </c>
      <c r="B578" s="12">
        <f>MAX(0,'Deal Analyzer'!$B$4*(1+NORM.INV(RAND(),0,$J$4)))</f>
        <v/>
      </c>
      <c r="C578" s="12">
        <f>'Deal Analyzer'!$B$5*MAX(0.9,1+NORM.INV(RAND(),$J$5,$J$6))</f>
        <v/>
      </c>
      <c r="D578" s="12">
        <f>'Deal Analyzer'!$B$24+C578+B578*'Deal Analyzer'!$B$11</f>
        <v/>
      </c>
      <c r="E578" s="15">
        <f>IF(B578=0,0,(B578-D578)/B578)</f>
        <v/>
      </c>
      <c r="F578" s="2">
        <f>E578&gt;='Deal Analyzer'!$B$12</f>
        <v/>
      </c>
      <c r="G578" s="12">
        <f>IF(AND(F578,RAND()&lt;$J$7),'Deal Analyzer'!$B$8-'Deal Analyzer'!$B$10,-('Deal Analyzer'!$B$10+'Deal Analyzer'!$B$9*'Deal Analyzer'!$B$14))</f>
        <v/>
      </c>
      <c r="H578" s="2" t="n"/>
      <c r="I578" s="2" t="n"/>
      <c r="J578" s="2" t="n"/>
      <c r="K578" s="2" t="n"/>
    </row>
    <row r="579">
      <c r="A579" s="2" t="n">
        <v>568</v>
      </c>
      <c r="B579" s="12">
        <f>MAX(0,'Deal Analyzer'!$B$4*(1+NORM.INV(RAND(),0,$J$4)))</f>
        <v/>
      </c>
      <c r="C579" s="12">
        <f>'Deal Analyzer'!$B$5*MAX(0.9,1+NORM.INV(RAND(),$J$5,$J$6))</f>
        <v/>
      </c>
      <c r="D579" s="12">
        <f>'Deal Analyzer'!$B$24+C579+B579*'Deal Analyzer'!$B$11</f>
        <v/>
      </c>
      <c r="E579" s="15">
        <f>IF(B579=0,0,(B579-D579)/B579)</f>
        <v/>
      </c>
      <c r="F579" s="2">
        <f>E579&gt;='Deal Analyzer'!$B$12</f>
        <v/>
      </c>
      <c r="G579" s="12">
        <f>IF(AND(F579,RAND()&lt;$J$7),'Deal Analyzer'!$B$8-'Deal Analyzer'!$B$10,-('Deal Analyzer'!$B$10+'Deal Analyzer'!$B$9*'Deal Analyzer'!$B$14))</f>
        <v/>
      </c>
      <c r="H579" s="2" t="n"/>
      <c r="I579" s="2" t="n"/>
      <c r="J579" s="2" t="n"/>
      <c r="K579" s="2" t="n"/>
    </row>
    <row r="580">
      <c r="A580" s="2" t="n">
        <v>569</v>
      </c>
      <c r="B580" s="12">
        <f>MAX(0,'Deal Analyzer'!$B$4*(1+NORM.INV(RAND(),0,$J$4)))</f>
        <v/>
      </c>
      <c r="C580" s="12">
        <f>'Deal Analyzer'!$B$5*MAX(0.9,1+NORM.INV(RAND(),$J$5,$J$6))</f>
        <v/>
      </c>
      <c r="D580" s="12">
        <f>'Deal Analyzer'!$B$24+C580+B580*'Deal Analyzer'!$B$11</f>
        <v/>
      </c>
      <c r="E580" s="15">
        <f>IF(B580=0,0,(B580-D580)/B580)</f>
        <v/>
      </c>
      <c r="F580" s="2">
        <f>E580&gt;='Deal Analyzer'!$B$12</f>
        <v/>
      </c>
      <c r="G580" s="12">
        <f>IF(AND(F580,RAND()&lt;$J$7),'Deal Analyzer'!$B$8-'Deal Analyzer'!$B$10,-('Deal Analyzer'!$B$10+'Deal Analyzer'!$B$9*'Deal Analyzer'!$B$14))</f>
        <v/>
      </c>
      <c r="H580" s="2" t="n"/>
      <c r="I580" s="2" t="n"/>
      <c r="J580" s="2" t="n"/>
      <c r="K580" s="2" t="n"/>
    </row>
    <row r="581">
      <c r="A581" s="2" t="n">
        <v>570</v>
      </c>
      <c r="B581" s="12">
        <f>MAX(0,'Deal Analyzer'!$B$4*(1+NORM.INV(RAND(),0,$J$4)))</f>
        <v/>
      </c>
      <c r="C581" s="12">
        <f>'Deal Analyzer'!$B$5*MAX(0.9,1+NORM.INV(RAND(),$J$5,$J$6))</f>
        <v/>
      </c>
      <c r="D581" s="12">
        <f>'Deal Analyzer'!$B$24+C581+B581*'Deal Analyzer'!$B$11</f>
        <v/>
      </c>
      <c r="E581" s="15">
        <f>IF(B581=0,0,(B581-D581)/B581)</f>
        <v/>
      </c>
      <c r="F581" s="2">
        <f>E581&gt;='Deal Analyzer'!$B$12</f>
        <v/>
      </c>
      <c r="G581" s="12">
        <f>IF(AND(F581,RAND()&lt;$J$7),'Deal Analyzer'!$B$8-'Deal Analyzer'!$B$10,-('Deal Analyzer'!$B$10+'Deal Analyzer'!$B$9*'Deal Analyzer'!$B$14))</f>
        <v/>
      </c>
      <c r="H581" s="2" t="n"/>
      <c r="I581" s="2" t="n"/>
      <c r="J581" s="2" t="n"/>
      <c r="K581" s="2" t="n"/>
    </row>
    <row r="582">
      <c r="A582" s="2" t="n">
        <v>571</v>
      </c>
      <c r="B582" s="12">
        <f>MAX(0,'Deal Analyzer'!$B$4*(1+NORM.INV(RAND(),0,$J$4)))</f>
        <v/>
      </c>
      <c r="C582" s="12">
        <f>'Deal Analyzer'!$B$5*MAX(0.9,1+NORM.INV(RAND(),$J$5,$J$6))</f>
        <v/>
      </c>
      <c r="D582" s="12">
        <f>'Deal Analyzer'!$B$24+C582+B582*'Deal Analyzer'!$B$11</f>
        <v/>
      </c>
      <c r="E582" s="15">
        <f>IF(B582=0,0,(B582-D582)/B582)</f>
        <v/>
      </c>
      <c r="F582" s="2">
        <f>E582&gt;='Deal Analyzer'!$B$12</f>
        <v/>
      </c>
      <c r="G582" s="12">
        <f>IF(AND(F582,RAND()&lt;$J$7),'Deal Analyzer'!$B$8-'Deal Analyzer'!$B$10,-('Deal Analyzer'!$B$10+'Deal Analyzer'!$B$9*'Deal Analyzer'!$B$14))</f>
        <v/>
      </c>
      <c r="H582" s="2" t="n"/>
      <c r="I582" s="2" t="n"/>
      <c r="J582" s="2" t="n"/>
      <c r="K582" s="2" t="n"/>
    </row>
    <row r="583">
      <c r="A583" s="2" t="n">
        <v>572</v>
      </c>
      <c r="B583" s="12">
        <f>MAX(0,'Deal Analyzer'!$B$4*(1+NORM.INV(RAND(),0,$J$4)))</f>
        <v/>
      </c>
      <c r="C583" s="12">
        <f>'Deal Analyzer'!$B$5*MAX(0.9,1+NORM.INV(RAND(),$J$5,$J$6))</f>
        <v/>
      </c>
      <c r="D583" s="12">
        <f>'Deal Analyzer'!$B$24+C583+B583*'Deal Analyzer'!$B$11</f>
        <v/>
      </c>
      <c r="E583" s="15">
        <f>IF(B583=0,0,(B583-D583)/B583)</f>
        <v/>
      </c>
      <c r="F583" s="2">
        <f>E583&gt;='Deal Analyzer'!$B$12</f>
        <v/>
      </c>
      <c r="G583" s="12">
        <f>IF(AND(F583,RAND()&lt;$J$7),'Deal Analyzer'!$B$8-'Deal Analyzer'!$B$10,-('Deal Analyzer'!$B$10+'Deal Analyzer'!$B$9*'Deal Analyzer'!$B$14))</f>
        <v/>
      </c>
      <c r="H583" s="2" t="n"/>
      <c r="I583" s="2" t="n"/>
      <c r="J583" s="2" t="n"/>
      <c r="K583" s="2" t="n"/>
    </row>
    <row r="584">
      <c r="A584" s="2" t="n">
        <v>573</v>
      </c>
      <c r="B584" s="12">
        <f>MAX(0,'Deal Analyzer'!$B$4*(1+NORM.INV(RAND(),0,$J$4)))</f>
        <v/>
      </c>
      <c r="C584" s="12">
        <f>'Deal Analyzer'!$B$5*MAX(0.9,1+NORM.INV(RAND(),$J$5,$J$6))</f>
        <v/>
      </c>
      <c r="D584" s="12">
        <f>'Deal Analyzer'!$B$24+C584+B584*'Deal Analyzer'!$B$11</f>
        <v/>
      </c>
      <c r="E584" s="15">
        <f>IF(B584=0,0,(B584-D584)/B584)</f>
        <v/>
      </c>
      <c r="F584" s="2">
        <f>E584&gt;='Deal Analyzer'!$B$12</f>
        <v/>
      </c>
      <c r="G584" s="12">
        <f>IF(AND(F584,RAND()&lt;$J$7),'Deal Analyzer'!$B$8-'Deal Analyzer'!$B$10,-('Deal Analyzer'!$B$10+'Deal Analyzer'!$B$9*'Deal Analyzer'!$B$14))</f>
        <v/>
      </c>
      <c r="H584" s="2" t="n"/>
      <c r="I584" s="2" t="n"/>
      <c r="J584" s="2" t="n"/>
      <c r="K584" s="2" t="n"/>
    </row>
    <row r="585">
      <c r="A585" s="2" t="n">
        <v>574</v>
      </c>
      <c r="B585" s="12">
        <f>MAX(0,'Deal Analyzer'!$B$4*(1+NORM.INV(RAND(),0,$J$4)))</f>
        <v/>
      </c>
      <c r="C585" s="12">
        <f>'Deal Analyzer'!$B$5*MAX(0.9,1+NORM.INV(RAND(),$J$5,$J$6))</f>
        <v/>
      </c>
      <c r="D585" s="12">
        <f>'Deal Analyzer'!$B$24+C585+B585*'Deal Analyzer'!$B$11</f>
        <v/>
      </c>
      <c r="E585" s="15">
        <f>IF(B585=0,0,(B585-D585)/B585)</f>
        <v/>
      </c>
      <c r="F585" s="2">
        <f>E585&gt;='Deal Analyzer'!$B$12</f>
        <v/>
      </c>
      <c r="G585" s="12">
        <f>IF(AND(F585,RAND()&lt;$J$7),'Deal Analyzer'!$B$8-'Deal Analyzer'!$B$10,-('Deal Analyzer'!$B$10+'Deal Analyzer'!$B$9*'Deal Analyzer'!$B$14))</f>
        <v/>
      </c>
      <c r="H585" s="2" t="n"/>
      <c r="I585" s="2" t="n"/>
      <c r="J585" s="2" t="n"/>
      <c r="K585" s="2" t="n"/>
    </row>
    <row r="586">
      <c r="A586" s="2" t="n">
        <v>575</v>
      </c>
      <c r="B586" s="12">
        <f>MAX(0,'Deal Analyzer'!$B$4*(1+NORM.INV(RAND(),0,$J$4)))</f>
        <v/>
      </c>
      <c r="C586" s="12">
        <f>'Deal Analyzer'!$B$5*MAX(0.9,1+NORM.INV(RAND(),$J$5,$J$6))</f>
        <v/>
      </c>
      <c r="D586" s="12">
        <f>'Deal Analyzer'!$B$24+C586+B586*'Deal Analyzer'!$B$11</f>
        <v/>
      </c>
      <c r="E586" s="15">
        <f>IF(B586=0,0,(B586-D586)/B586)</f>
        <v/>
      </c>
      <c r="F586" s="2">
        <f>E586&gt;='Deal Analyzer'!$B$12</f>
        <v/>
      </c>
      <c r="G586" s="12">
        <f>IF(AND(F586,RAND()&lt;$J$7),'Deal Analyzer'!$B$8-'Deal Analyzer'!$B$10,-('Deal Analyzer'!$B$10+'Deal Analyzer'!$B$9*'Deal Analyzer'!$B$14))</f>
        <v/>
      </c>
      <c r="H586" s="2" t="n"/>
      <c r="I586" s="2" t="n"/>
      <c r="J586" s="2" t="n"/>
      <c r="K586" s="2" t="n"/>
    </row>
    <row r="587">
      <c r="A587" s="2" t="n">
        <v>576</v>
      </c>
      <c r="B587" s="12">
        <f>MAX(0,'Deal Analyzer'!$B$4*(1+NORM.INV(RAND(),0,$J$4)))</f>
        <v/>
      </c>
      <c r="C587" s="12">
        <f>'Deal Analyzer'!$B$5*MAX(0.9,1+NORM.INV(RAND(),$J$5,$J$6))</f>
        <v/>
      </c>
      <c r="D587" s="12">
        <f>'Deal Analyzer'!$B$24+C587+B587*'Deal Analyzer'!$B$11</f>
        <v/>
      </c>
      <c r="E587" s="15">
        <f>IF(B587=0,0,(B587-D587)/B587)</f>
        <v/>
      </c>
      <c r="F587" s="2">
        <f>E587&gt;='Deal Analyzer'!$B$12</f>
        <v/>
      </c>
      <c r="G587" s="12">
        <f>IF(AND(F587,RAND()&lt;$J$7),'Deal Analyzer'!$B$8-'Deal Analyzer'!$B$10,-('Deal Analyzer'!$B$10+'Deal Analyzer'!$B$9*'Deal Analyzer'!$B$14))</f>
        <v/>
      </c>
      <c r="H587" s="2" t="n"/>
      <c r="I587" s="2" t="n"/>
      <c r="J587" s="2" t="n"/>
      <c r="K587" s="2" t="n"/>
    </row>
    <row r="588">
      <c r="A588" s="2" t="n">
        <v>577</v>
      </c>
      <c r="B588" s="12">
        <f>MAX(0,'Deal Analyzer'!$B$4*(1+NORM.INV(RAND(),0,$J$4)))</f>
        <v/>
      </c>
      <c r="C588" s="12">
        <f>'Deal Analyzer'!$B$5*MAX(0.9,1+NORM.INV(RAND(),$J$5,$J$6))</f>
        <v/>
      </c>
      <c r="D588" s="12">
        <f>'Deal Analyzer'!$B$24+C588+B588*'Deal Analyzer'!$B$11</f>
        <v/>
      </c>
      <c r="E588" s="15">
        <f>IF(B588=0,0,(B588-D588)/B588)</f>
        <v/>
      </c>
      <c r="F588" s="2">
        <f>E588&gt;='Deal Analyzer'!$B$12</f>
        <v/>
      </c>
      <c r="G588" s="12">
        <f>IF(AND(F588,RAND()&lt;$J$7),'Deal Analyzer'!$B$8-'Deal Analyzer'!$B$10,-('Deal Analyzer'!$B$10+'Deal Analyzer'!$B$9*'Deal Analyzer'!$B$14))</f>
        <v/>
      </c>
      <c r="H588" s="2" t="n"/>
      <c r="I588" s="2" t="n"/>
      <c r="J588" s="2" t="n"/>
      <c r="K588" s="2" t="n"/>
    </row>
    <row r="589">
      <c r="A589" s="2" t="n">
        <v>578</v>
      </c>
      <c r="B589" s="12">
        <f>MAX(0,'Deal Analyzer'!$B$4*(1+NORM.INV(RAND(),0,$J$4)))</f>
        <v/>
      </c>
      <c r="C589" s="12">
        <f>'Deal Analyzer'!$B$5*MAX(0.9,1+NORM.INV(RAND(),$J$5,$J$6))</f>
        <v/>
      </c>
      <c r="D589" s="12">
        <f>'Deal Analyzer'!$B$24+C589+B589*'Deal Analyzer'!$B$11</f>
        <v/>
      </c>
      <c r="E589" s="15">
        <f>IF(B589=0,0,(B589-D589)/B589)</f>
        <v/>
      </c>
      <c r="F589" s="2">
        <f>E589&gt;='Deal Analyzer'!$B$12</f>
        <v/>
      </c>
      <c r="G589" s="12">
        <f>IF(AND(F589,RAND()&lt;$J$7),'Deal Analyzer'!$B$8-'Deal Analyzer'!$B$10,-('Deal Analyzer'!$B$10+'Deal Analyzer'!$B$9*'Deal Analyzer'!$B$14))</f>
        <v/>
      </c>
      <c r="H589" s="2" t="n"/>
      <c r="I589" s="2" t="n"/>
      <c r="J589" s="2" t="n"/>
      <c r="K589" s="2" t="n"/>
    </row>
    <row r="590">
      <c r="A590" s="2" t="n">
        <v>579</v>
      </c>
      <c r="B590" s="12">
        <f>MAX(0,'Deal Analyzer'!$B$4*(1+NORM.INV(RAND(),0,$J$4)))</f>
        <v/>
      </c>
      <c r="C590" s="12">
        <f>'Deal Analyzer'!$B$5*MAX(0.9,1+NORM.INV(RAND(),$J$5,$J$6))</f>
        <v/>
      </c>
      <c r="D590" s="12">
        <f>'Deal Analyzer'!$B$24+C590+B590*'Deal Analyzer'!$B$11</f>
        <v/>
      </c>
      <c r="E590" s="15">
        <f>IF(B590=0,0,(B590-D590)/B590)</f>
        <v/>
      </c>
      <c r="F590" s="2">
        <f>E590&gt;='Deal Analyzer'!$B$12</f>
        <v/>
      </c>
      <c r="G590" s="12">
        <f>IF(AND(F590,RAND()&lt;$J$7),'Deal Analyzer'!$B$8-'Deal Analyzer'!$B$10,-('Deal Analyzer'!$B$10+'Deal Analyzer'!$B$9*'Deal Analyzer'!$B$14))</f>
        <v/>
      </c>
      <c r="H590" s="2" t="n"/>
      <c r="I590" s="2" t="n"/>
      <c r="J590" s="2" t="n"/>
      <c r="K590" s="2" t="n"/>
    </row>
    <row r="591">
      <c r="A591" s="2" t="n">
        <v>580</v>
      </c>
      <c r="B591" s="12">
        <f>MAX(0,'Deal Analyzer'!$B$4*(1+NORM.INV(RAND(),0,$J$4)))</f>
        <v/>
      </c>
      <c r="C591" s="12">
        <f>'Deal Analyzer'!$B$5*MAX(0.9,1+NORM.INV(RAND(),$J$5,$J$6))</f>
        <v/>
      </c>
      <c r="D591" s="12">
        <f>'Deal Analyzer'!$B$24+C591+B591*'Deal Analyzer'!$B$11</f>
        <v/>
      </c>
      <c r="E591" s="15">
        <f>IF(B591=0,0,(B591-D591)/B591)</f>
        <v/>
      </c>
      <c r="F591" s="2">
        <f>E591&gt;='Deal Analyzer'!$B$12</f>
        <v/>
      </c>
      <c r="G591" s="12">
        <f>IF(AND(F591,RAND()&lt;$J$7),'Deal Analyzer'!$B$8-'Deal Analyzer'!$B$10,-('Deal Analyzer'!$B$10+'Deal Analyzer'!$B$9*'Deal Analyzer'!$B$14))</f>
        <v/>
      </c>
      <c r="H591" s="2" t="n"/>
      <c r="I591" s="2" t="n"/>
      <c r="J591" s="2" t="n"/>
      <c r="K591" s="2" t="n"/>
    </row>
    <row r="592">
      <c r="A592" s="2" t="n">
        <v>581</v>
      </c>
      <c r="B592" s="12">
        <f>MAX(0,'Deal Analyzer'!$B$4*(1+NORM.INV(RAND(),0,$J$4)))</f>
        <v/>
      </c>
      <c r="C592" s="12">
        <f>'Deal Analyzer'!$B$5*MAX(0.9,1+NORM.INV(RAND(),$J$5,$J$6))</f>
        <v/>
      </c>
      <c r="D592" s="12">
        <f>'Deal Analyzer'!$B$24+C592+B592*'Deal Analyzer'!$B$11</f>
        <v/>
      </c>
      <c r="E592" s="15">
        <f>IF(B592=0,0,(B592-D592)/B592)</f>
        <v/>
      </c>
      <c r="F592" s="2">
        <f>E592&gt;='Deal Analyzer'!$B$12</f>
        <v/>
      </c>
      <c r="G592" s="12">
        <f>IF(AND(F592,RAND()&lt;$J$7),'Deal Analyzer'!$B$8-'Deal Analyzer'!$B$10,-('Deal Analyzer'!$B$10+'Deal Analyzer'!$B$9*'Deal Analyzer'!$B$14))</f>
        <v/>
      </c>
      <c r="H592" s="2" t="n"/>
      <c r="I592" s="2" t="n"/>
      <c r="J592" s="2" t="n"/>
      <c r="K592" s="2" t="n"/>
    </row>
    <row r="593">
      <c r="A593" s="2" t="n">
        <v>582</v>
      </c>
      <c r="B593" s="12">
        <f>MAX(0,'Deal Analyzer'!$B$4*(1+NORM.INV(RAND(),0,$J$4)))</f>
        <v/>
      </c>
      <c r="C593" s="12">
        <f>'Deal Analyzer'!$B$5*MAX(0.9,1+NORM.INV(RAND(),$J$5,$J$6))</f>
        <v/>
      </c>
      <c r="D593" s="12">
        <f>'Deal Analyzer'!$B$24+C593+B593*'Deal Analyzer'!$B$11</f>
        <v/>
      </c>
      <c r="E593" s="15">
        <f>IF(B593=0,0,(B593-D593)/B593)</f>
        <v/>
      </c>
      <c r="F593" s="2">
        <f>E593&gt;='Deal Analyzer'!$B$12</f>
        <v/>
      </c>
      <c r="G593" s="12">
        <f>IF(AND(F593,RAND()&lt;$J$7),'Deal Analyzer'!$B$8-'Deal Analyzer'!$B$10,-('Deal Analyzer'!$B$10+'Deal Analyzer'!$B$9*'Deal Analyzer'!$B$14))</f>
        <v/>
      </c>
      <c r="H593" s="2" t="n"/>
      <c r="I593" s="2" t="n"/>
      <c r="J593" s="2" t="n"/>
      <c r="K593" s="2" t="n"/>
    </row>
    <row r="594">
      <c r="A594" s="2" t="n">
        <v>583</v>
      </c>
      <c r="B594" s="12">
        <f>MAX(0,'Deal Analyzer'!$B$4*(1+NORM.INV(RAND(),0,$J$4)))</f>
        <v/>
      </c>
      <c r="C594" s="12">
        <f>'Deal Analyzer'!$B$5*MAX(0.9,1+NORM.INV(RAND(),$J$5,$J$6))</f>
        <v/>
      </c>
      <c r="D594" s="12">
        <f>'Deal Analyzer'!$B$24+C594+B594*'Deal Analyzer'!$B$11</f>
        <v/>
      </c>
      <c r="E594" s="15">
        <f>IF(B594=0,0,(B594-D594)/B594)</f>
        <v/>
      </c>
      <c r="F594" s="2">
        <f>E594&gt;='Deal Analyzer'!$B$12</f>
        <v/>
      </c>
      <c r="G594" s="12">
        <f>IF(AND(F594,RAND()&lt;$J$7),'Deal Analyzer'!$B$8-'Deal Analyzer'!$B$10,-('Deal Analyzer'!$B$10+'Deal Analyzer'!$B$9*'Deal Analyzer'!$B$14))</f>
        <v/>
      </c>
      <c r="H594" s="2" t="n"/>
      <c r="I594" s="2" t="n"/>
      <c r="J594" s="2" t="n"/>
      <c r="K594" s="2" t="n"/>
    </row>
    <row r="595">
      <c r="A595" s="2" t="n">
        <v>584</v>
      </c>
      <c r="B595" s="12">
        <f>MAX(0,'Deal Analyzer'!$B$4*(1+NORM.INV(RAND(),0,$J$4)))</f>
        <v/>
      </c>
      <c r="C595" s="12">
        <f>'Deal Analyzer'!$B$5*MAX(0.9,1+NORM.INV(RAND(),$J$5,$J$6))</f>
        <v/>
      </c>
      <c r="D595" s="12">
        <f>'Deal Analyzer'!$B$24+C595+B595*'Deal Analyzer'!$B$11</f>
        <v/>
      </c>
      <c r="E595" s="15">
        <f>IF(B595=0,0,(B595-D595)/B595)</f>
        <v/>
      </c>
      <c r="F595" s="2">
        <f>E595&gt;='Deal Analyzer'!$B$12</f>
        <v/>
      </c>
      <c r="G595" s="12">
        <f>IF(AND(F595,RAND()&lt;$J$7),'Deal Analyzer'!$B$8-'Deal Analyzer'!$B$10,-('Deal Analyzer'!$B$10+'Deal Analyzer'!$B$9*'Deal Analyzer'!$B$14))</f>
        <v/>
      </c>
      <c r="H595" s="2" t="n"/>
      <c r="I595" s="2" t="n"/>
      <c r="J595" s="2" t="n"/>
      <c r="K595" s="2" t="n"/>
    </row>
    <row r="596">
      <c r="A596" s="2" t="n">
        <v>585</v>
      </c>
      <c r="B596" s="12">
        <f>MAX(0,'Deal Analyzer'!$B$4*(1+NORM.INV(RAND(),0,$J$4)))</f>
        <v/>
      </c>
      <c r="C596" s="12">
        <f>'Deal Analyzer'!$B$5*MAX(0.9,1+NORM.INV(RAND(),$J$5,$J$6))</f>
        <v/>
      </c>
      <c r="D596" s="12">
        <f>'Deal Analyzer'!$B$24+C596+B596*'Deal Analyzer'!$B$11</f>
        <v/>
      </c>
      <c r="E596" s="15">
        <f>IF(B596=0,0,(B596-D596)/B596)</f>
        <v/>
      </c>
      <c r="F596" s="2">
        <f>E596&gt;='Deal Analyzer'!$B$12</f>
        <v/>
      </c>
      <c r="G596" s="12">
        <f>IF(AND(F596,RAND()&lt;$J$7),'Deal Analyzer'!$B$8-'Deal Analyzer'!$B$10,-('Deal Analyzer'!$B$10+'Deal Analyzer'!$B$9*'Deal Analyzer'!$B$14))</f>
        <v/>
      </c>
      <c r="H596" s="2" t="n"/>
      <c r="I596" s="2" t="n"/>
      <c r="J596" s="2" t="n"/>
      <c r="K596" s="2" t="n"/>
    </row>
    <row r="597">
      <c r="A597" s="2" t="n">
        <v>586</v>
      </c>
      <c r="B597" s="12">
        <f>MAX(0,'Deal Analyzer'!$B$4*(1+NORM.INV(RAND(),0,$J$4)))</f>
        <v/>
      </c>
      <c r="C597" s="12">
        <f>'Deal Analyzer'!$B$5*MAX(0.9,1+NORM.INV(RAND(),$J$5,$J$6))</f>
        <v/>
      </c>
      <c r="D597" s="12">
        <f>'Deal Analyzer'!$B$24+C597+B597*'Deal Analyzer'!$B$11</f>
        <v/>
      </c>
      <c r="E597" s="15">
        <f>IF(B597=0,0,(B597-D597)/B597)</f>
        <v/>
      </c>
      <c r="F597" s="2">
        <f>E597&gt;='Deal Analyzer'!$B$12</f>
        <v/>
      </c>
      <c r="G597" s="12">
        <f>IF(AND(F597,RAND()&lt;$J$7),'Deal Analyzer'!$B$8-'Deal Analyzer'!$B$10,-('Deal Analyzer'!$B$10+'Deal Analyzer'!$B$9*'Deal Analyzer'!$B$14))</f>
        <v/>
      </c>
      <c r="H597" s="2" t="n"/>
      <c r="I597" s="2" t="n"/>
      <c r="J597" s="2" t="n"/>
      <c r="K597" s="2" t="n"/>
    </row>
    <row r="598">
      <c r="A598" s="2" t="n">
        <v>587</v>
      </c>
      <c r="B598" s="12">
        <f>MAX(0,'Deal Analyzer'!$B$4*(1+NORM.INV(RAND(),0,$J$4)))</f>
        <v/>
      </c>
      <c r="C598" s="12">
        <f>'Deal Analyzer'!$B$5*MAX(0.9,1+NORM.INV(RAND(),$J$5,$J$6))</f>
        <v/>
      </c>
      <c r="D598" s="12">
        <f>'Deal Analyzer'!$B$24+C598+B598*'Deal Analyzer'!$B$11</f>
        <v/>
      </c>
      <c r="E598" s="15">
        <f>IF(B598=0,0,(B598-D598)/B598)</f>
        <v/>
      </c>
      <c r="F598" s="2">
        <f>E598&gt;='Deal Analyzer'!$B$12</f>
        <v/>
      </c>
      <c r="G598" s="12">
        <f>IF(AND(F598,RAND()&lt;$J$7),'Deal Analyzer'!$B$8-'Deal Analyzer'!$B$10,-('Deal Analyzer'!$B$10+'Deal Analyzer'!$B$9*'Deal Analyzer'!$B$14))</f>
        <v/>
      </c>
      <c r="H598" s="2" t="n"/>
      <c r="I598" s="2" t="n"/>
      <c r="J598" s="2" t="n"/>
      <c r="K598" s="2" t="n"/>
    </row>
    <row r="599">
      <c r="A599" s="2" t="n">
        <v>588</v>
      </c>
      <c r="B599" s="12">
        <f>MAX(0,'Deal Analyzer'!$B$4*(1+NORM.INV(RAND(),0,$J$4)))</f>
        <v/>
      </c>
      <c r="C599" s="12">
        <f>'Deal Analyzer'!$B$5*MAX(0.9,1+NORM.INV(RAND(),$J$5,$J$6))</f>
        <v/>
      </c>
      <c r="D599" s="12">
        <f>'Deal Analyzer'!$B$24+C599+B599*'Deal Analyzer'!$B$11</f>
        <v/>
      </c>
      <c r="E599" s="15">
        <f>IF(B599=0,0,(B599-D599)/B599)</f>
        <v/>
      </c>
      <c r="F599" s="2">
        <f>E599&gt;='Deal Analyzer'!$B$12</f>
        <v/>
      </c>
      <c r="G599" s="12">
        <f>IF(AND(F599,RAND()&lt;$J$7),'Deal Analyzer'!$B$8-'Deal Analyzer'!$B$10,-('Deal Analyzer'!$B$10+'Deal Analyzer'!$B$9*'Deal Analyzer'!$B$14))</f>
        <v/>
      </c>
      <c r="H599" s="2" t="n"/>
      <c r="I599" s="2" t="n"/>
      <c r="J599" s="2" t="n"/>
      <c r="K599" s="2" t="n"/>
    </row>
    <row r="600">
      <c r="A600" s="2" t="n">
        <v>589</v>
      </c>
      <c r="B600" s="12">
        <f>MAX(0,'Deal Analyzer'!$B$4*(1+NORM.INV(RAND(),0,$J$4)))</f>
        <v/>
      </c>
      <c r="C600" s="12">
        <f>'Deal Analyzer'!$B$5*MAX(0.9,1+NORM.INV(RAND(),$J$5,$J$6))</f>
        <v/>
      </c>
      <c r="D600" s="12">
        <f>'Deal Analyzer'!$B$24+C600+B600*'Deal Analyzer'!$B$11</f>
        <v/>
      </c>
      <c r="E600" s="15">
        <f>IF(B600=0,0,(B600-D600)/B600)</f>
        <v/>
      </c>
      <c r="F600" s="2">
        <f>E600&gt;='Deal Analyzer'!$B$12</f>
        <v/>
      </c>
      <c r="G600" s="12">
        <f>IF(AND(F600,RAND()&lt;$J$7),'Deal Analyzer'!$B$8-'Deal Analyzer'!$B$10,-('Deal Analyzer'!$B$10+'Deal Analyzer'!$B$9*'Deal Analyzer'!$B$14))</f>
        <v/>
      </c>
      <c r="H600" s="2" t="n"/>
      <c r="I600" s="2" t="n"/>
      <c r="J600" s="2" t="n"/>
      <c r="K600" s="2" t="n"/>
    </row>
    <row r="601">
      <c r="A601" s="2" t="n">
        <v>590</v>
      </c>
      <c r="B601" s="12">
        <f>MAX(0,'Deal Analyzer'!$B$4*(1+NORM.INV(RAND(),0,$J$4)))</f>
        <v/>
      </c>
      <c r="C601" s="12">
        <f>'Deal Analyzer'!$B$5*MAX(0.9,1+NORM.INV(RAND(),$J$5,$J$6))</f>
        <v/>
      </c>
      <c r="D601" s="12">
        <f>'Deal Analyzer'!$B$24+C601+B601*'Deal Analyzer'!$B$11</f>
        <v/>
      </c>
      <c r="E601" s="15">
        <f>IF(B601=0,0,(B601-D601)/B601)</f>
        <v/>
      </c>
      <c r="F601" s="2">
        <f>E601&gt;='Deal Analyzer'!$B$12</f>
        <v/>
      </c>
      <c r="G601" s="12">
        <f>IF(AND(F601,RAND()&lt;$J$7),'Deal Analyzer'!$B$8-'Deal Analyzer'!$B$10,-('Deal Analyzer'!$B$10+'Deal Analyzer'!$B$9*'Deal Analyzer'!$B$14))</f>
        <v/>
      </c>
      <c r="H601" s="2" t="n"/>
      <c r="I601" s="2" t="n"/>
      <c r="J601" s="2" t="n"/>
      <c r="K601" s="2" t="n"/>
    </row>
    <row r="602">
      <c r="A602" s="2" t="n">
        <v>591</v>
      </c>
      <c r="B602" s="12">
        <f>MAX(0,'Deal Analyzer'!$B$4*(1+NORM.INV(RAND(),0,$J$4)))</f>
        <v/>
      </c>
      <c r="C602" s="12">
        <f>'Deal Analyzer'!$B$5*MAX(0.9,1+NORM.INV(RAND(),$J$5,$J$6))</f>
        <v/>
      </c>
      <c r="D602" s="12">
        <f>'Deal Analyzer'!$B$24+C602+B602*'Deal Analyzer'!$B$11</f>
        <v/>
      </c>
      <c r="E602" s="15">
        <f>IF(B602=0,0,(B602-D602)/B602)</f>
        <v/>
      </c>
      <c r="F602" s="2">
        <f>E602&gt;='Deal Analyzer'!$B$12</f>
        <v/>
      </c>
      <c r="G602" s="12">
        <f>IF(AND(F602,RAND()&lt;$J$7),'Deal Analyzer'!$B$8-'Deal Analyzer'!$B$10,-('Deal Analyzer'!$B$10+'Deal Analyzer'!$B$9*'Deal Analyzer'!$B$14))</f>
        <v/>
      </c>
      <c r="H602" s="2" t="n"/>
      <c r="I602" s="2" t="n"/>
      <c r="J602" s="2" t="n"/>
      <c r="K602" s="2" t="n"/>
    </row>
    <row r="603">
      <c r="A603" s="2" t="n">
        <v>592</v>
      </c>
      <c r="B603" s="12">
        <f>MAX(0,'Deal Analyzer'!$B$4*(1+NORM.INV(RAND(),0,$J$4)))</f>
        <v/>
      </c>
      <c r="C603" s="12">
        <f>'Deal Analyzer'!$B$5*MAX(0.9,1+NORM.INV(RAND(),$J$5,$J$6))</f>
        <v/>
      </c>
      <c r="D603" s="12">
        <f>'Deal Analyzer'!$B$24+C603+B603*'Deal Analyzer'!$B$11</f>
        <v/>
      </c>
      <c r="E603" s="15">
        <f>IF(B603=0,0,(B603-D603)/B603)</f>
        <v/>
      </c>
      <c r="F603" s="2">
        <f>E603&gt;='Deal Analyzer'!$B$12</f>
        <v/>
      </c>
      <c r="G603" s="12">
        <f>IF(AND(F603,RAND()&lt;$J$7),'Deal Analyzer'!$B$8-'Deal Analyzer'!$B$10,-('Deal Analyzer'!$B$10+'Deal Analyzer'!$B$9*'Deal Analyzer'!$B$14))</f>
        <v/>
      </c>
      <c r="H603" s="2" t="n"/>
      <c r="I603" s="2" t="n"/>
      <c r="J603" s="2" t="n"/>
      <c r="K603" s="2" t="n"/>
    </row>
    <row r="604">
      <c r="A604" s="2" t="n">
        <v>593</v>
      </c>
      <c r="B604" s="12">
        <f>MAX(0,'Deal Analyzer'!$B$4*(1+NORM.INV(RAND(),0,$J$4)))</f>
        <v/>
      </c>
      <c r="C604" s="12">
        <f>'Deal Analyzer'!$B$5*MAX(0.9,1+NORM.INV(RAND(),$J$5,$J$6))</f>
        <v/>
      </c>
      <c r="D604" s="12">
        <f>'Deal Analyzer'!$B$24+C604+B604*'Deal Analyzer'!$B$11</f>
        <v/>
      </c>
      <c r="E604" s="15">
        <f>IF(B604=0,0,(B604-D604)/B604)</f>
        <v/>
      </c>
      <c r="F604" s="2">
        <f>E604&gt;='Deal Analyzer'!$B$12</f>
        <v/>
      </c>
      <c r="G604" s="12">
        <f>IF(AND(F604,RAND()&lt;$J$7),'Deal Analyzer'!$B$8-'Deal Analyzer'!$B$10,-('Deal Analyzer'!$B$10+'Deal Analyzer'!$B$9*'Deal Analyzer'!$B$14))</f>
        <v/>
      </c>
      <c r="H604" s="2" t="n"/>
      <c r="I604" s="2" t="n"/>
      <c r="J604" s="2" t="n"/>
      <c r="K604" s="2" t="n"/>
    </row>
    <row r="605">
      <c r="A605" s="2" t="n">
        <v>594</v>
      </c>
      <c r="B605" s="12">
        <f>MAX(0,'Deal Analyzer'!$B$4*(1+NORM.INV(RAND(),0,$J$4)))</f>
        <v/>
      </c>
      <c r="C605" s="12">
        <f>'Deal Analyzer'!$B$5*MAX(0.9,1+NORM.INV(RAND(),$J$5,$J$6))</f>
        <v/>
      </c>
      <c r="D605" s="12">
        <f>'Deal Analyzer'!$B$24+C605+B605*'Deal Analyzer'!$B$11</f>
        <v/>
      </c>
      <c r="E605" s="15">
        <f>IF(B605=0,0,(B605-D605)/B605)</f>
        <v/>
      </c>
      <c r="F605" s="2">
        <f>E605&gt;='Deal Analyzer'!$B$12</f>
        <v/>
      </c>
      <c r="G605" s="12">
        <f>IF(AND(F605,RAND()&lt;$J$7),'Deal Analyzer'!$B$8-'Deal Analyzer'!$B$10,-('Deal Analyzer'!$B$10+'Deal Analyzer'!$B$9*'Deal Analyzer'!$B$14))</f>
        <v/>
      </c>
      <c r="H605" s="2" t="n"/>
      <c r="I605" s="2" t="n"/>
      <c r="J605" s="2" t="n"/>
      <c r="K605" s="2" t="n"/>
    </row>
    <row r="606">
      <c r="A606" s="2" t="n">
        <v>595</v>
      </c>
      <c r="B606" s="12">
        <f>MAX(0,'Deal Analyzer'!$B$4*(1+NORM.INV(RAND(),0,$J$4)))</f>
        <v/>
      </c>
      <c r="C606" s="12">
        <f>'Deal Analyzer'!$B$5*MAX(0.9,1+NORM.INV(RAND(),$J$5,$J$6))</f>
        <v/>
      </c>
      <c r="D606" s="12">
        <f>'Deal Analyzer'!$B$24+C606+B606*'Deal Analyzer'!$B$11</f>
        <v/>
      </c>
      <c r="E606" s="15">
        <f>IF(B606=0,0,(B606-D606)/B606)</f>
        <v/>
      </c>
      <c r="F606" s="2">
        <f>E606&gt;='Deal Analyzer'!$B$12</f>
        <v/>
      </c>
      <c r="G606" s="12">
        <f>IF(AND(F606,RAND()&lt;$J$7),'Deal Analyzer'!$B$8-'Deal Analyzer'!$B$10,-('Deal Analyzer'!$B$10+'Deal Analyzer'!$B$9*'Deal Analyzer'!$B$14))</f>
        <v/>
      </c>
      <c r="H606" s="2" t="n"/>
      <c r="I606" s="2" t="n"/>
      <c r="J606" s="2" t="n"/>
      <c r="K606" s="2" t="n"/>
    </row>
    <row r="607">
      <c r="A607" s="2" t="n">
        <v>596</v>
      </c>
      <c r="B607" s="12">
        <f>MAX(0,'Deal Analyzer'!$B$4*(1+NORM.INV(RAND(),0,$J$4)))</f>
        <v/>
      </c>
      <c r="C607" s="12">
        <f>'Deal Analyzer'!$B$5*MAX(0.9,1+NORM.INV(RAND(),$J$5,$J$6))</f>
        <v/>
      </c>
      <c r="D607" s="12">
        <f>'Deal Analyzer'!$B$24+C607+B607*'Deal Analyzer'!$B$11</f>
        <v/>
      </c>
      <c r="E607" s="15">
        <f>IF(B607=0,0,(B607-D607)/B607)</f>
        <v/>
      </c>
      <c r="F607" s="2">
        <f>E607&gt;='Deal Analyzer'!$B$12</f>
        <v/>
      </c>
      <c r="G607" s="12">
        <f>IF(AND(F607,RAND()&lt;$J$7),'Deal Analyzer'!$B$8-'Deal Analyzer'!$B$10,-('Deal Analyzer'!$B$10+'Deal Analyzer'!$B$9*'Deal Analyzer'!$B$14))</f>
        <v/>
      </c>
      <c r="H607" s="2" t="n"/>
      <c r="I607" s="2" t="n"/>
      <c r="J607" s="2" t="n"/>
      <c r="K607" s="2" t="n"/>
    </row>
    <row r="608">
      <c r="A608" s="2" t="n">
        <v>597</v>
      </c>
      <c r="B608" s="12">
        <f>MAX(0,'Deal Analyzer'!$B$4*(1+NORM.INV(RAND(),0,$J$4)))</f>
        <v/>
      </c>
      <c r="C608" s="12">
        <f>'Deal Analyzer'!$B$5*MAX(0.9,1+NORM.INV(RAND(),$J$5,$J$6))</f>
        <v/>
      </c>
      <c r="D608" s="12">
        <f>'Deal Analyzer'!$B$24+C608+B608*'Deal Analyzer'!$B$11</f>
        <v/>
      </c>
      <c r="E608" s="15">
        <f>IF(B608=0,0,(B608-D608)/B608)</f>
        <v/>
      </c>
      <c r="F608" s="2">
        <f>E608&gt;='Deal Analyzer'!$B$12</f>
        <v/>
      </c>
      <c r="G608" s="12">
        <f>IF(AND(F608,RAND()&lt;$J$7),'Deal Analyzer'!$B$8-'Deal Analyzer'!$B$10,-('Deal Analyzer'!$B$10+'Deal Analyzer'!$B$9*'Deal Analyzer'!$B$14))</f>
        <v/>
      </c>
      <c r="H608" s="2" t="n"/>
      <c r="I608" s="2" t="n"/>
      <c r="J608" s="2" t="n"/>
      <c r="K608" s="2" t="n"/>
    </row>
    <row r="609">
      <c r="A609" s="2" t="n">
        <v>598</v>
      </c>
      <c r="B609" s="12">
        <f>MAX(0,'Deal Analyzer'!$B$4*(1+NORM.INV(RAND(),0,$J$4)))</f>
        <v/>
      </c>
      <c r="C609" s="12">
        <f>'Deal Analyzer'!$B$5*MAX(0.9,1+NORM.INV(RAND(),$J$5,$J$6))</f>
        <v/>
      </c>
      <c r="D609" s="12">
        <f>'Deal Analyzer'!$B$24+C609+B609*'Deal Analyzer'!$B$11</f>
        <v/>
      </c>
      <c r="E609" s="15">
        <f>IF(B609=0,0,(B609-D609)/B609)</f>
        <v/>
      </c>
      <c r="F609" s="2">
        <f>E609&gt;='Deal Analyzer'!$B$12</f>
        <v/>
      </c>
      <c r="G609" s="12">
        <f>IF(AND(F609,RAND()&lt;$J$7),'Deal Analyzer'!$B$8-'Deal Analyzer'!$B$10,-('Deal Analyzer'!$B$10+'Deal Analyzer'!$B$9*'Deal Analyzer'!$B$14))</f>
        <v/>
      </c>
      <c r="H609" s="2" t="n"/>
      <c r="I609" s="2" t="n"/>
      <c r="J609" s="2" t="n"/>
      <c r="K609" s="2" t="n"/>
    </row>
    <row r="610">
      <c r="A610" s="2" t="n">
        <v>599</v>
      </c>
      <c r="B610" s="12">
        <f>MAX(0,'Deal Analyzer'!$B$4*(1+NORM.INV(RAND(),0,$J$4)))</f>
        <v/>
      </c>
      <c r="C610" s="12">
        <f>'Deal Analyzer'!$B$5*MAX(0.9,1+NORM.INV(RAND(),$J$5,$J$6))</f>
        <v/>
      </c>
      <c r="D610" s="12">
        <f>'Deal Analyzer'!$B$24+C610+B610*'Deal Analyzer'!$B$11</f>
        <v/>
      </c>
      <c r="E610" s="15">
        <f>IF(B610=0,0,(B610-D610)/B610)</f>
        <v/>
      </c>
      <c r="F610" s="2">
        <f>E610&gt;='Deal Analyzer'!$B$12</f>
        <v/>
      </c>
      <c r="G610" s="12">
        <f>IF(AND(F610,RAND()&lt;$J$7),'Deal Analyzer'!$B$8-'Deal Analyzer'!$B$10,-('Deal Analyzer'!$B$10+'Deal Analyzer'!$B$9*'Deal Analyzer'!$B$14))</f>
        <v/>
      </c>
      <c r="H610" s="2" t="n"/>
      <c r="I610" s="2" t="n"/>
      <c r="J610" s="2" t="n"/>
      <c r="K610" s="2" t="n"/>
    </row>
    <row r="611">
      <c r="A611" s="2" t="n">
        <v>600</v>
      </c>
      <c r="B611" s="12">
        <f>MAX(0,'Deal Analyzer'!$B$4*(1+NORM.INV(RAND(),0,$J$4)))</f>
        <v/>
      </c>
      <c r="C611" s="12">
        <f>'Deal Analyzer'!$B$5*MAX(0.9,1+NORM.INV(RAND(),$J$5,$J$6))</f>
        <v/>
      </c>
      <c r="D611" s="12">
        <f>'Deal Analyzer'!$B$24+C611+B611*'Deal Analyzer'!$B$11</f>
        <v/>
      </c>
      <c r="E611" s="15">
        <f>IF(B611=0,0,(B611-D611)/B611)</f>
        <v/>
      </c>
      <c r="F611" s="2">
        <f>E611&gt;='Deal Analyzer'!$B$12</f>
        <v/>
      </c>
      <c r="G611" s="12">
        <f>IF(AND(F611,RAND()&lt;$J$7),'Deal Analyzer'!$B$8-'Deal Analyzer'!$B$10,-('Deal Analyzer'!$B$10+'Deal Analyzer'!$B$9*'Deal Analyzer'!$B$14))</f>
        <v/>
      </c>
      <c r="H611" s="2" t="n"/>
      <c r="I611" s="2" t="n"/>
      <c r="J611" s="2" t="n"/>
      <c r="K611" s="2" t="n"/>
    </row>
    <row r="612">
      <c r="A612" s="2" t="n">
        <v>601</v>
      </c>
      <c r="B612" s="12">
        <f>MAX(0,'Deal Analyzer'!$B$4*(1+NORM.INV(RAND(),0,$J$4)))</f>
        <v/>
      </c>
      <c r="C612" s="12">
        <f>'Deal Analyzer'!$B$5*MAX(0.9,1+NORM.INV(RAND(),$J$5,$J$6))</f>
        <v/>
      </c>
      <c r="D612" s="12">
        <f>'Deal Analyzer'!$B$24+C612+B612*'Deal Analyzer'!$B$11</f>
        <v/>
      </c>
      <c r="E612" s="15">
        <f>IF(B612=0,0,(B612-D612)/B612)</f>
        <v/>
      </c>
      <c r="F612" s="2">
        <f>E612&gt;='Deal Analyzer'!$B$12</f>
        <v/>
      </c>
      <c r="G612" s="12">
        <f>IF(AND(F612,RAND()&lt;$J$7),'Deal Analyzer'!$B$8-'Deal Analyzer'!$B$10,-('Deal Analyzer'!$B$10+'Deal Analyzer'!$B$9*'Deal Analyzer'!$B$14))</f>
        <v/>
      </c>
      <c r="H612" s="2" t="n"/>
      <c r="I612" s="2" t="n"/>
      <c r="J612" s="2" t="n"/>
      <c r="K612" s="2" t="n"/>
    </row>
    <row r="613">
      <c r="A613" s="2" t="n">
        <v>602</v>
      </c>
      <c r="B613" s="12">
        <f>MAX(0,'Deal Analyzer'!$B$4*(1+NORM.INV(RAND(),0,$J$4)))</f>
        <v/>
      </c>
      <c r="C613" s="12">
        <f>'Deal Analyzer'!$B$5*MAX(0.9,1+NORM.INV(RAND(),$J$5,$J$6))</f>
        <v/>
      </c>
      <c r="D613" s="12">
        <f>'Deal Analyzer'!$B$24+C613+B613*'Deal Analyzer'!$B$11</f>
        <v/>
      </c>
      <c r="E613" s="15">
        <f>IF(B613=0,0,(B613-D613)/B613)</f>
        <v/>
      </c>
      <c r="F613" s="2">
        <f>E613&gt;='Deal Analyzer'!$B$12</f>
        <v/>
      </c>
      <c r="G613" s="12">
        <f>IF(AND(F613,RAND()&lt;$J$7),'Deal Analyzer'!$B$8-'Deal Analyzer'!$B$10,-('Deal Analyzer'!$B$10+'Deal Analyzer'!$B$9*'Deal Analyzer'!$B$14))</f>
        <v/>
      </c>
      <c r="H613" s="2" t="n"/>
      <c r="I613" s="2" t="n"/>
      <c r="J613" s="2" t="n"/>
      <c r="K613" s="2" t="n"/>
    </row>
    <row r="614">
      <c r="A614" s="2" t="n">
        <v>603</v>
      </c>
      <c r="B614" s="12">
        <f>MAX(0,'Deal Analyzer'!$B$4*(1+NORM.INV(RAND(),0,$J$4)))</f>
        <v/>
      </c>
      <c r="C614" s="12">
        <f>'Deal Analyzer'!$B$5*MAX(0.9,1+NORM.INV(RAND(),$J$5,$J$6))</f>
        <v/>
      </c>
      <c r="D614" s="12">
        <f>'Deal Analyzer'!$B$24+C614+B614*'Deal Analyzer'!$B$11</f>
        <v/>
      </c>
      <c r="E614" s="15">
        <f>IF(B614=0,0,(B614-D614)/B614)</f>
        <v/>
      </c>
      <c r="F614" s="2">
        <f>E614&gt;='Deal Analyzer'!$B$12</f>
        <v/>
      </c>
      <c r="G614" s="12">
        <f>IF(AND(F614,RAND()&lt;$J$7),'Deal Analyzer'!$B$8-'Deal Analyzer'!$B$10,-('Deal Analyzer'!$B$10+'Deal Analyzer'!$B$9*'Deal Analyzer'!$B$14))</f>
        <v/>
      </c>
      <c r="H614" s="2" t="n"/>
      <c r="I614" s="2" t="n"/>
      <c r="J614" s="2" t="n"/>
      <c r="K614" s="2" t="n"/>
    </row>
    <row r="615">
      <c r="A615" s="2" t="n">
        <v>604</v>
      </c>
      <c r="B615" s="12">
        <f>MAX(0,'Deal Analyzer'!$B$4*(1+NORM.INV(RAND(),0,$J$4)))</f>
        <v/>
      </c>
      <c r="C615" s="12">
        <f>'Deal Analyzer'!$B$5*MAX(0.9,1+NORM.INV(RAND(),$J$5,$J$6))</f>
        <v/>
      </c>
      <c r="D615" s="12">
        <f>'Deal Analyzer'!$B$24+C615+B615*'Deal Analyzer'!$B$11</f>
        <v/>
      </c>
      <c r="E615" s="15">
        <f>IF(B615=0,0,(B615-D615)/B615)</f>
        <v/>
      </c>
      <c r="F615" s="2">
        <f>E615&gt;='Deal Analyzer'!$B$12</f>
        <v/>
      </c>
      <c r="G615" s="12">
        <f>IF(AND(F615,RAND()&lt;$J$7),'Deal Analyzer'!$B$8-'Deal Analyzer'!$B$10,-('Deal Analyzer'!$B$10+'Deal Analyzer'!$B$9*'Deal Analyzer'!$B$14))</f>
        <v/>
      </c>
      <c r="H615" s="2" t="n"/>
      <c r="I615" s="2" t="n"/>
      <c r="J615" s="2" t="n"/>
      <c r="K615" s="2" t="n"/>
    </row>
    <row r="616">
      <c r="A616" s="2" t="n">
        <v>605</v>
      </c>
      <c r="B616" s="12">
        <f>MAX(0,'Deal Analyzer'!$B$4*(1+NORM.INV(RAND(),0,$J$4)))</f>
        <v/>
      </c>
      <c r="C616" s="12">
        <f>'Deal Analyzer'!$B$5*MAX(0.9,1+NORM.INV(RAND(),$J$5,$J$6))</f>
        <v/>
      </c>
      <c r="D616" s="12">
        <f>'Deal Analyzer'!$B$24+C616+B616*'Deal Analyzer'!$B$11</f>
        <v/>
      </c>
      <c r="E616" s="15">
        <f>IF(B616=0,0,(B616-D616)/B616)</f>
        <v/>
      </c>
      <c r="F616" s="2">
        <f>E616&gt;='Deal Analyzer'!$B$12</f>
        <v/>
      </c>
      <c r="G616" s="12">
        <f>IF(AND(F616,RAND()&lt;$J$7),'Deal Analyzer'!$B$8-'Deal Analyzer'!$B$10,-('Deal Analyzer'!$B$10+'Deal Analyzer'!$B$9*'Deal Analyzer'!$B$14))</f>
        <v/>
      </c>
      <c r="H616" s="2" t="n"/>
      <c r="I616" s="2" t="n"/>
      <c r="J616" s="2" t="n"/>
      <c r="K616" s="2" t="n"/>
    </row>
    <row r="617">
      <c r="A617" s="2" t="n">
        <v>606</v>
      </c>
      <c r="B617" s="12">
        <f>MAX(0,'Deal Analyzer'!$B$4*(1+NORM.INV(RAND(),0,$J$4)))</f>
        <v/>
      </c>
      <c r="C617" s="12">
        <f>'Deal Analyzer'!$B$5*MAX(0.9,1+NORM.INV(RAND(),$J$5,$J$6))</f>
        <v/>
      </c>
      <c r="D617" s="12">
        <f>'Deal Analyzer'!$B$24+C617+B617*'Deal Analyzer'!$B$11</f>
        <v/>
      </c>
      <c r="E617" s="15">
        <f>IF(B617=0,0,(B617-D617)/B617)</f>
        <v/>
      </c>
      <c r="F617" s="2">
        <f>E617&gt;='Deal Analyzer'!$B$12</f>
        <v/>
      </c>
      <c r="G617" s="12">
        <f>IF(AND(F617,RAND()&lt;$J$7),'Deal Analyzer'!$B$8-'Deal Analyzer'!$B$10,-('Deal Analyzer'!$B$10+'Deal Analyzer'!$B$9*'Deal Analyzer'!$B$14))</f>
        <v/>
      </c>
      <c r="H617" s="2" t="n"/>
      <c r="I617" s="2" t="n"/>
      <c r="J617" s="2" t="n"/>
      <c r="K617" s="2" t="n"/>
    </row>
    <row r="618">
      <c r="A618" s="2" t="n">
        <v>607</v>
      </c>
      <c r="B618" s="12">
        <f>MAX(0,'Deal Analyzer'!$B$4*(1+NORM.INV(RAND(),0,$J$4)))</f>
        <v/>
      </c>
      <c r="C618" s="12">
        <f>'Deal Analyzer'!$B$5*MAX(0.9,1+NORM.INV(RAND(),$J$5,$J$6))</f>
        <v/>
      </c>
      <c r="D618" s="12">
        <f>'Deal Analyzer'!$B$24+C618+B618*'Deal Analyzer'!$B$11</f>
        <v/>
      </c>
      <c r="E618" s="15">
        <f>IF(B618=0,0,(B618-D618)/B618)</f>
        <v/>
      </c>
      <c r="F618" s="2">
        <f>E618&gt;='Deal Analyzer'!$B$12</f>
        <v/>
      </c>
      <c r="G618" s="12">
        <f>IF(AND(F618,RAND()&lt;$J$7),'Deal Analyzer'!$B$8-'Deal Analyzer'!$B$10,-('Deal Analyzer'!$B$10+'Deal Analyzer'!$B$9*'Deal Analyzer'!$B$14))</f>
        <v/>
      </c>
      <c r="H618" s="2" t="n"/>
      <c r="I618" s="2" t="n"/>
      <c r="J618" s="2" t="n"/>
      <c r="K618" s="2" t="n"/>
    </row>
    <row r="619">
      <c r="A619" s="2" t="n">
        <v>608</v>
      </c>
      <c r="B619" s="12">
        <f>MAX(0,'Deal Analyzer'!$B$4*(1+NORM.INV(RAND(),0,$J$4)))</f>
        <v/>
      </c>
      <c r="C619" s="12">
        <f>'Deal Analyzer'!$B$5*MAX(0.9,1+NORM.INV(RAND(),$J$5,$J$6))</f>
        <v/>
      </c>
      <c r="D619" s="12">
        <f>'Deal Analyzer'!$B$24+C619+B619*'Deal Analyzer'!$B$11</f>
        <v/>
      </c>
      <c r="E619" s="15">
        <f>IF(B619=0,0,(B619-D619)/B619)</f>
        <v/>
      </c>
      <c r="F619" s="2">
        <f>E619&gt;='Deal Analyzer'!$B$12</f>
        <v/>
      </c>
      <c r="G619" s="12">
        <f>IF(AND(F619,RAND()&lt;$J$7),'Deal Analyzer'!$B$8-'Deal Analyzer'!$B$10,-('Deal Analyzer'!$B$10+'Deal Analyzer'!$B$9*'Deal Analyzer'!$B$14))</f>
        <v/>
      </c>
      <c r="H619" s="2" t="n"/>
      <c r="I619" s="2" t="n"/>
      <c r="J619" s="2" t="n"/>
      <c r="K619" s="2" t="n"/>
    </row>
    <row r="620">
      <c r="A620" s="2" t="n">
        <v>609</v>
      </c>
      <c r="B620" s="12">
        <f>MAX(0,'Deal Analyzer'!$B$4*(1+NORM.INV(RAND(),0,$J$4)))</f>
        <v/>
      </c>
      <c r="C620" s="12">
        <f>'Deal Analyzer'!$B$5*MAX(0.9,1+NORM.INV(RAND(),$J$5,$J$6))</f>
        <v/>
      </c>
      <c r="D620" s="12">
        <f>'Deal Analyzer'!$B$24+C620+B620*'Deal Analyzer'!$B$11</f>
        <v/>
      </c>
      <c r="E620" s="15">
        <f>IF(B620=0,0,(B620-D620)/B620)</f>
        <v/>
      </c>
      <c r="F620" s="2">
        <f>E620&gt;='Deal Analyzer'!$B$12</f>
        <v/>
      </c>
      <c r="G620" s="12">
        <f>IF(AND(F620,RAND()&lt;$J$7),'Deal Analyzer'!$B$8-'Deal Analyzer'!$B$10,-('Deal Analyzer'!$B$10+'Deal Analyzer'!$B$9*'Deal Analyzer'!$B$14))</f>
        <v/>
      </c>
      <c r="H620" s="2" t="n"/>
      <c r="I620" s="2" t="n"/>
      <c r="J620" s="2" t="n"/>
      <c r="K620" s="2" t="n"/>
    </row>
    <row r="621">
      <c r="A621" s="2" t="n">
        <v>610</v>
      </c>
      <c r="B621" s="12">
        <f>MAX(0,'Deal Analyzer'!$B$4*(1+NORM.INV(RAND(),0,$J$4)))</f>
        <v/>
      </c>
      <c r="C621" s="12">
        <f>'Deal Analyzer'!$B$5*MAX(0.9,1+NORM.INV(RAND(),$J$5,$J$6))</f>
        <v/>
      </c>
      <c r="D621" s="12">
        <f>'Deal Analyzer'!$B$24+C621+B621*'Deal Analyzer'!$B$11</f>
        <v/>
      </c>
      <c r="E621" s="15">
        <f>IF(B621=0,0,(B621-D621)/B621)</f>
        <v/>
      </c>
      <c r="F621" s="2">
        <f>E621&gt;='Deal Analyzer'!$B$12</f>
        <v/>
      </c>
      <c r="G621" s="12">
        <f>IF(AND(F621,RAND()&lt;$J$7),'Deal Analyzer'!$B$8-'Deal Analyzer'!$B$10,-('Deal Analyzer'!$B$10+'Deal Analyzer'!$B$9*'Deal Analyzer'!$B$14))</f>
        <v/>
      </c>
      <c r="H621" s="2" t="n"/>
      <c r="I621" s="2" t="n"/>
      <c r="J621" s="2" t="n"/>
      <c r="K621" s="2" t="n"/>
    </row>
    <row r="622">
      <c r="A622" s="2" t="n">
        <v>611</v>
      </c>
      <c r="B622" s="12">
        <f>MAX(0,'Deal Analyzer'!$B$4*(1+NORM.INV(RAND(),0,$J$4)))</f>
        <v/>
      </c>
      <c r="C622" s="12">
        <f>'Deal Analyzer'!$B$5*MAX(0.9,1+NORM.INV(RAND(),$J$5,$J$6))</f>
        <v/>
      </c>
      <c r="D622" s="12">
        <f>'Deal Analyzer'!$B$24+C622+B622*'Deal Analyzer'!$B$11</f>
        <v/>
      </c>
      <c r="E622" s="15">
        <f>IF(B622=0,0,(B622-D622)/B622)</f>
        <v/>
      </c>
      <c r="F622" s="2">
        <f>E622&gt;='Deal Analyzer'!$B$12</f>
        <v/>
      </c>
      <c r="G622" s="12">
        <f>IF(AND(F622,RAND()&lt;$J$7),'Deal Analyzer'!$B$8-'Deal Analyzer'!$B$10,-('Deal Analyzer'!$B$10+'Deal Analyzer'!$B$9*'Deal Analyzer'!$B$14))</f>
        <v/>
      </c>
      <c r="H622" s="2" t="n"/>
      <c r="I622" s="2" t="n"/>
      <c r="J622" s="2" t="n"/>
      <c r="K622" s="2" t="n"/>
    </row>
    <row r="623">
      <c r="A623" s="2" t="n">
        <v>612</v>
      </c>
      <c r="B623" s="12">
        <f>MAX(0,'Deal Analyzer'!$B$4*(1+NORM.INV(RAND(),0,$J$4)))</f>
        <v/>
      </c>
      <c r="C623" s="12">
        <f>'Deal Analyzer'!$B$5*MAX(0.9,1+NORM.INV(RAND(),$J$5,$J$6))</f>
        <v/>
      </c>
      <c r="D623" s="12">
        <f>'Deal Analyzer'!$B$24+C623+B623*'Deal Analyzer'!$B$11</f>
        <v/>
      </c>
      <c r="E623" s="15">
        <f>IF(B623=0,0,(B623-D623)/B623)</f>
        <v/>
      </c>
      <c r="F623" s="2">
        <f>E623&gt;='Deal Analyzer'!$B$12</f>
        <v/>
      </c>
      <c r="G623" s="12">
        <f>IF(AND(F623,RAND()&lt;$J$7),'Deal Analyzer'!$B$8-'Deal Analyzer'!$B$10,-('Deal Analyzer'!$B$10+'Deal Analyzer'!$B$9*'Deal Analyzer'!$B$14))</f>
        <v/>
      </c>
      <c r="H623" s="2" t="n"/>
      <c r="I623" s="2" t="n"/>
      <c r="J623" s="2" t="n"/>
      <c r="K623" s="2" t="n"/>
    </row>
    <row r="624">
      <c r="A624" s="2" t="n">
        <v>613</v>
      </c>
      <c r="B624" s="12">
        <f>MAX(0,'Deal Analyzer'!$B$4*(1+NORM.INV(RAND(),0,$J$4)))</f>
        <v/>
      </c>
      <c r="C624" s="12">
        <f>'Deal Analyzer'!$B$5*MAX(0.9,1+NORM.INV(RAND(),$J$5,$J$6))</f>
        <v/>
      </c>
      <c r="D624" s="12">
        <f>'Deal Analyzer'!$B$24+C624+B624*'Deal Analyzer'!$B$11</f>
        <v/>
      </c>
      <c r="E624" s="15">
        <f>IF(B624=0,0,(B624-D624)/B624)</f>
        <v/>
      </c>
      <c r="F624" s="2">
        <f>E624&gt;='Deal Analyzer'!$B$12</f>
        <v/>
      </c>
      <c r="G624" s="12">
        <f>IF(AND(F624,RAND()&lt;$J$7),'Deal Analyzer'!$B$8-'Deal Analyzer'!$B$10,-('Deal Analyzer'!$B$10+'Deal Analyzer'!$B$9*'Deal Analyzer'!$B$14))</f>
        <v/>
      </c>
      <c r="H624" s="2" t="n"/>
      <c r="I624" s="2" t="n"/>
      <c r="J624" s="2" t="n"/>
      <c r="K624" s="2" t="n"/>
    </row>
    <row r="625">
      <c r="A625" s="2" t="n">
        <v>614</v>
      </c>
      <c r="B625" s="12">
        <f>MAX(0,'Deal Analyzer'!$B$4*(1+NORM.INV(RAND(),0,$J$4)))</f>
        <v/>
      </c>
      <c r="C625" s="12">
        <f>'Deal Analyzer'!$B$5*MAX(0.9,1+NORM.INV(RAND(),$J$5,$J$6))</f>
        <v/>
      </c>
      <c r="D625" s="12">
        <f>'Deal Analyzer'!$B$24+C625+B625*'Deal Analyzer'!$B$11</f>
        <v/>
      </c>
      <c r="E625" s="15">
        <f>IF(B625=0,0,(B625-D625)/B625)</f>
        <v/>
      </c>
      <c r="F625" s="2">
        <f>E625&gt;='Deal Analyzer'!$B$12</f>
        <v/>
      </c>
      <c r="G625" s="12">
        <f>IF(AND(F625,RAND()&lt;$J$7),'Deal Analyzer'!$B$8-'Deal Analyzer'!$B$10,-('Deal Analyzer'!$B$10+'Deal Analyzer'!$B$9*'Deal Analyzer'!$B$14))</f>
        <v/>
      </c>
      <c r="H625" s="2" t="n"/>
      <c r="I625" s="2" t="n"/>
      <c r="J625" s="2" t="n"/>
      <c r="K625" s="2" t="n"/>
    </row>
    <row r="626">
      <c r="A626" s="2" t="n">
        <v>615</v>
      </c>
      <c r="B626" s="12">
        <f>MAX(0,'Deal Analyzer'!$B$4*(1+NORM.INV(RAND(),0,$J$4)))</f>
        <v/>
      </c>
      <c r="C626" s="12">
        <f>'Deal Analyzer'!$B$5*MAX(0.9,1+NORM.INV(RAND(),$J$5,$J$6))</f>
        <v/>
      </c>
      <c r="D626" s="12">
        <f>'Deal Analyzer'!$B$24+C626+B626*'Deal Analyzer'!$B$11</f>
        <v/>
      </c>
      <c r="E626" s="15">
        <f>IF(B626=0,0,(B626-D626)/B626)</f>
        <v/>
      </c>
      <c r="F626" s="2">
        <f>E626&gt;='Deal Analyzer'!$B$12</f>
        <v/>
      </c>
      <c r="G626" s="12">
        <f>IF(AND(F626,RAND()&lt;$J$7),'Deal Analyzer'!$B$8-'Deal Analyzer'!$B$10,-('Deal Analyzer'!$B$10+'Deal Analyzer'!$B$9*'Deal Analyzer'!$B$14))</f>
        <v/>
      </c>
      <c r="H626" s="2" t="n"/>
      <c r="I626" s="2" t="n"/>
      <c r="J626" s="2" t="n"/>
      <c r="K626" s="2" t="n"/>
    </row>
    <row r="627">
      <c r="A627" s="2" t="n">
        <v>616</v>
      </c>
      <c r="B627" s="12">
        <f>MAX(0,'Deal Analyzer'!$B$4*(1+NORM.INV(RAND(),0,$J$4)))</f>
        <v/>
      </c>
      <c r="C627" s="12">
        <f>'Deal Analyzer'!$B$5*MAX(0.9,1+NORM.INV(RAND(),$J$5,$J$6))</f>
        <v/>
      </c>
      <c r="D627" s="12">
        <f>'Deal Analyzer'!$B$24+C627+B627*'Deal Analyzer'!$B$11</f>
        <v/>
      </c>
      <c r="E627" s="15">
        <f>IF(B627=0,0,(B627-D627)/B627)</f>
        <v/>
      </c>
      <c r="F627" s="2">
        <f>E627&gt;='Deal Analyzer'!$B$12</f>
        <v/>
      </c>
      <c r="G627" s="12">
        <f>IF(AND(F627,RAND()&lt;$J$7),'Deal Analyzer'!$B$8-'Deal Analyzer'!$B$10,-('Deal Analyzer'!$B$10+'Deal Analyzer'!$B$9*'Deal Analyzer'!$B$14))</f>
        <v/>
      </c>
      <c r="H627" s="2" t="n"/>
      <c r="I627" s="2" t="n"/>
      <c r="J627" s="2" t="n"/>
      <c r="K627" s="2" t="n"/>
    </row>
    <row r="628">
      <c r="A628" s="2" t="n">
        <v>617</v>
      </c>
      <c r="B628" s="12">
        <f>MAX(0,'Deal Analyzer'!$B$4*(1+NORM.INV(RAND(),0,$J$4)))</f>
        <v/>
      </c>
      <c r="C628" s="12">
        <f>'Deal Analyzer'!$B$5*MAX(0.9,1+NORM.INV(RAND(),$J$5,$J$6))</f>
        <v/>
      </c>
      <c r="D628" s="12">
        <f>'Deal Analyzer'!$B$24+C628+B628*'Deal Analyzer'!$B$11</f>
        <v/>
      </c>
      <c r="E628" s="15">
        <f>IF(B628=0,0,(B628-D628)/B628)</f>
        <v/>
      </c>
      <c r="F628" s="2">
        <f>E628&gt;='Deal Analyzer'!$B$12</f>
        <v/>
      </c>
      <c r="G628" s="12">
        <f>IF(AND(F628,RAND()&lt;$J$7),'Deal Analyzer'!$B$8-'Deal Analyzer'!$B$10,-('Deal Analyzer'!$B$10+'Deal Analyzer'!$B$9*'Deal Analyzer'!$B$14))</f>
        <v/>
      </c>
      <c r="H628" s="2" t="n"/>
      <c r="I628" s="2" t="n"/>
      <c r="J628" s="2" t="n"/>
      <c r="K628" s="2" t="n"/>
    </row>
    <row r="629">
      <c r="A629" s="2" t="n">
        <v>618</v>
      </c>
      <c r="B629" s="12">
        <f>MAX(0,'Deal Analyzer'!$B$4*(1+NORM.INV(RAND(),0,$J$4)))</f>
        <v/>
      </c>
      <c r="C629" s="12">
        <f>'Deal Analyzer'!$B$5*MAX(0.9,1+NORM.INV(RAND(),$J$5,$J$6))</f>
        <v/>
      </c>
      <c r="D629" s="12">
        <f>'Deal Analyzer'!$B$24+C629+B629*'Deal Analyzer'!$B$11</f>
        <v/>
      </c>
      <c r="E629" s="15">
        <f>IF(B629=0,0,(B629-D629)/B629)</f>
        <v/>
      </c>
      <c r="F629" s="2">
        <f>E629&gt;='Deal Analyzer'!$B$12</f>
        <v/>
      </c>
      <c r="G629" s="12">
        <f>IF(AND(F629,RAND()&lt;$J$7),'Deal Analyzer'!$B$8-'Deal Analyzer'!$B$10,-('Deal Analyzer'!$B$10+'Deal Analyzer'!$B$9*'Deal Analyzer'!$B$14))</f>
        <v/>
      </c>
      <c r="H629" s="2" t="n"/>
      <c r="I629" s="2" t="n"/>
      <c r="J629" s="2" t="n"/>
      <c r="K629" s="2" t="n"/>
    </row>
    <row r="630">
      <c r="A630" s="2" t="n">
        <v>619</v>
      </c>
      <c r="B630" s="12">
        <f>MAX(0,'Deal Analyzer'!$B$4*(1+NORM.INV(RAND(),0,$J$4)))</f>
        <v/>
      </c>
      <c r="C630" s="12">
        <f>'Deal Analyzer'!$B$5*MAX(0.9,1+NORM.INV(RAND(),$J$5,$J$6))</f>
        <v/>
      </c>
      <c r="D630" s="12">
        <f>'Deal Analyzer'!$B$24+C630+B630*'Deal Analyzer'!$B$11</f>
        <v/>
      </c>
      <c r="E630" s="15">
        <f>IF(B630=0,0,(B630-D630)/B630)</f>
        <v/>
      </c>
      <c r="F630" s="2">
        <f>E630&gt;='Deal Analyzer'!$B$12</f>
        <v/>
      </c>
      <c r="G630" s="12">
        <f>IF(AND(F630,RAND()&lt;$J$7),'Deal Analyzer'!$B$8-'Deal Analyzer'!$B$10,-('Deal Analyzer'!$B$10+'Deal Analyzer'!$B$9*'Deal Analyzer'!$B$14))</f>
        <v/>
      </c>
      <c r="H630" s="2" t="n"/>
      <c r="I630" s="2" t="n"/>
      <c r="J630" s="2" t="n"/>
      <c r="K630" s="2" t="n"/>
    </row>
    <row r="631">
      <c r="A631" s="2" t="n">
        <v>620</v>
      </c>
      <c r="B631" s="12">
        <f>MAX(0,'Deal Analyzer'!$B$4*(1+NORM.INV(RAND(),0,$J$4)))</f>
        <v/>
      </c>
      <c r="C631" s="12">
        <f>'Deal Analyzer'!$B$5*MAX(0.9,1+NORM.INV(RAND(),$J$5,$J$6))</f>
        <v/>
      </c>
      <c r="D631" s="12">
        <f>'Deal Analyzer'!$B$24+C631+B631*'Deal Analyzer'!$B$11</f>
        <v/>
      </c>
      <c r="E631" s="15">
        <f>IF(B631=0,0,(B631-D631)/B631)</f>
        <v/>
      </c>
      <c r="F631" s="2">
        <f>E631&gt;='Deal Analyzer'!$B$12</f>
        <v/>
      </c>
      <c r="G631" s="12">
        <f>IF(AND(F631,RAND()&lt;$J$7),'Deal Analyzer'!$B$8-'Deal Analyzer'!$B$10,-('Deal Analyzer'!$B$10+'Deal Analyzer'!$B$9*'Deal Analyzer'!$B$14))</f>
        <v/>
      </c>
      <c r="H631" s="2" t="n"/>
      <c r="I631" s="2" t="n"/>
      <c r="J631" s="2" t="n"/>
      <c r="K631" s="2" t="n"/>
    </row>
    <row r="632">
      <c r="A632" s="2" t="n">
        <v>621</v>
      </c>
      <c r="B632" s="12">
        <f>MAX(0,'Deal Analyzer'!$B$4*(1+NORM.INV(RAND(),0,$J$4)))</f>
        <v/>
      </c>
      <c r="C632" s="12">
        <f>'Deal Analyzer'!$B$5*MAX(0.9,1+NORM.INV(RAND(),$J$5,$J$6))</f>
        <v/>
      </c>
      <c r="D632" s="12">
        <f>'Deal Analyzer'!$B$24+C632+B632*'Deal Analyzer'!$B$11</f>
        <v/>
      </c>
      <c r="E632" s="15">
        <f>IF(B632=0,0,(B632-D632)/B632)</f>
        <v/>
      </c>
      <c r="F632" s="2">
        <f>E632&gt;='Deal Analyzer'!$B$12</f>
        <v/>
      </c>
      <c r="G632" s="12">
        <f>IF(AND(F632,RAND()&lt;$J$7),'Deal Analyzer'!$B$8-'Deal Analyzer'!$B$10,-('Deal Analyzer'!$B$10+'Deal Analyzer'!$B$9*'Deal Analyzer'!$B$14))</f>
        <v/>
      </c>
      <c r="H632" s="2" t="n"/>
      <c r="I632" s="2" t="n"/>
      <c r="J632" s="2" t="n"/>
      <c r="K632" s="2" t="n"/>
    </row>
    <row r="633">
      <c r="A633" s="2" t="n">
        <v>622</v>
      </c>
      <c r="B633" s="12">
        <f>MAX(0,'Deal Analyzer'!$B$4*(1+NORM.INV(RAND(),0,$J$4)))</f>
        <v/>
      </c>
      <c r="C633" s="12">
        <f>'Deal Analyzer'!$B$5*MAX(0.9,1+NORM.INV(RAND(),$J$5,$J$6))</f>
        <v/>
      </c>
      <c r="D633" s="12">
        <f>'Deal Analyzer'!$B$24+C633+B633*'Deal Analyzer'!$B$11</f>
        <v/>
      </c>
      <c r="E633" s="15">
        <f>IF(B633=0,0,(B633-D633)/B633)</f>
        <v/>
      </c>
      <c r="F633" s="2">
        <f>E633&gt;='Deal Analyzer'!$B$12</f>
        <v/>
      </c>
      <c r="G633" s="12">
        <f>IF(AND(F633,RAND()&lt;$J$7),'Deal Analyzer'!$B$8-'Deal Analyzer'!$B$10,-('Deal Analyzer'!$B$10+'Deal Analyzer'!$B$9*'Deal Analyzer'!$B$14))</f>
        <v/>
      </c>
      <c r="H633" s="2" t="n"/>
      <c r="I633" s="2" t="n"/>
      <c r="J633" s="2" t="n"/>
      <c r="K633" s="2" t="n"/>
    </row>
    <row r="634">
      <c r="A634" s="2" t="n">
        <v>623</v>
      </c>
      <c r="B634" s="12">
        <f>MAX(0,'Deal Analyzer'!$B$4*(1+NORM.INV(RAND(),0,$J$4)))</f>
        <v/>
      </c>
      <c r="C634" s="12">
        <f>'Deal Analyzer'!$B$5*MAX(0.9,1+NORM.INV(RAND(),$J$5,$J$6))</f>
        <v/>
      </c>
      <c r="D634" s="12">
        <f>'Deal Analyzer'!$B$24+C634+B634*'Deal Analyzer'!$B$11</f>
        <v/>
      </c>
      <c r="E634" s="15">
        <f>IF(B634=0,0,(B634-D634)/B634)</f>
        <v/>
      </c>
      <c r="F634" s="2">
        <f>E634&gt;='Deal Analyzer'!$B$12</f>
        <v/>
      </c>
      <c r="G634" s="12">
        <f>IF(AND(F634,RAND()&lt;$J$7),'Deal Analyzer'!$B$8-'Deal Analyzer'!$B$10,-('Deal Analyzer'!$B$10+'Deal Analyzer'!$B$9*'Deal Analyzer'!$B$14))</f>
        <v/>
      </c>
      <c r="H634" s="2" t="n"/>
      <c r="I634" s="2" t="n"/>
      <c r="J634" s="2" t="n"/>
      <c r="K634" s="2" t="n"/>
    </row>
    <row r="635">
      <c r="A635" s="2" t="n">
        <v>624</v>
      </c>
      <c r="B635" s="12">
        <f>MAX(0,'Deal Analyzer'!$B$4*(1+NORM.INV(RAND(),0,$J$4)))</f>
        <v/>
      </c>
      <c r="C635" s="12">
        <f>'Deal Analyzer'!$B$5*MAX(0.9,1+NORM.INV(RAND(),$J$5,$J$6))</f>
        <v/>
      </c>
      <c r="D635" s="12">
        <f>'Deal Analyzer'!$B$24+C635+B635*'Deal Analyzer'!$B$11</f>
        <v/>
      </c>
      <c r="E635" s="15">
        <f>IF(B635=0,0,(B635-D635)/B635)</f>
        <v/>
      </c>
      <c r="F635" s="2">
        <f>E635&gt;='Deal Analyzer'!$B$12</f>
        <v/>
      </c>
      <c r="G635" s="12">
        <f>IF(AND(F635,RAND()&lt;$J$7),'Deal Analyzer'!$B$8-'Deal Analyzer'!$B$10,-('Deal Analyzer'!$B$10+'Deal Analyzer'!$B$9*'Deal Analyzer'!$B$14))</f>
        <v/>
      </c>
      <c r="H635" s="2" t="n"/>
      <c r="I635" s="2" t="n"/>
      <c r="J635" s="2" t="n"/>
      <c r="K635" s="2" t="n"/>
    </row>
    <row r="636">
      <c r="A636" s="2" t="n">
        <v>625</v>
      </c>
      <c r="B636" s="12">
        <f>MAX(0,'Deal Analyzer'!$B$4*(1+NORM.INV(RAND(),0,$J$4)))</f>
        <v/>
      </c>
      <c r="C636" s="12">
        <f>'Deal Analyzer'!$B$5*MAX(0.9,1+NORM.INV(RAND(),$J$5,$J$6))</f>
        <v/>
      </c>
      <c r="D636" s="12">
        <f>'Deal Analyzer'!$B$24+C636+B636*'Deal Analyzer'!$B$11</f>
        <v/>
      </c>
      <c r="E636" s="15">
        <f>IF(B636=0,0,(B636-D636)/B636)</f>
        <v/>
      </c>
      <c r="F636" s="2">
        <f>E636&gt;='Deal Analyzer'!$B$12</f>
        <v/>
      </c>
      <c r="G636" s="12">
        <f>IF(AND(F636,RAND()&lt;$J$7),'Deal Analyzer'!$B$8-'Deal Analyzer'!$B$10,-('Deal Analyzer'!$B$10+'Deal Analyzer'!$B$9*'Deal Analyzer'!$B$14))</f>
        <v/>
      </c>
      <c r="H636" s="2" t="n"/>
      <c r="I636" s="2" t="n"/>
      <c r="J636" s="2" t="n"/>
      <c r="K636" s="2" t="n"/>
    </row>
    <row r="637">
      <c r="A637" s="2" t="n">
        <v>626</v>
      </c>
      <c r="B637" s="12">
        <f>MAX(0,'Deal Analyzer'!$B$4*(1+NORM.INV(RAND(),0,$J$4)))</f>
        <v/>
      </c>
      <c r="C637" s="12">
        <f>'Deal Analyzer'!$B$5*MAX(0.9,1+NORM.INV(RAND(),$J$5,$J$6))</f>
        <v/>
      </c>
      <c r="D637" s="12">
        <f>'Deal Analyzer'!$B$24+C637+B637*'Deal Analyzer'!$B$11</f>
        <v/>
      </c>
      <c r="E637" s="15">
        <f>IF(B637=0,0,(B637-D637)/B637)</f>
        <v/>
      </c>
      <c r="F637" s="2">
        <f>E637&gt;='Deal Analyzer'!$B$12</f>
        <v/>
      </c>
      <c r="G637" s="12">
        <f>IF(AND(F637,RAND()&lt;$J$7),'Deal Analyzer'!$B$8-'Deal Analyzer'!$B$10,-('Deal Analyzer'!$B$10+'Deal Analyzer'!$B$9*'Deal Analyzer'!$B$14))</f>
        <v/>
      </c>
      <c r="H637" s="2" t="n"/>
      <c r="I637" s="2" t="n"/>
      <c r="J637" s="2" t="n"/>
      <c r="K637" s="2" t="n"/>
    </row>
    <row r="638">
      <c r="A638" s="2" t="n">
        <v>627</v>
      </c>
      <c r="B638" s="12">
        <f>MAX(0,'Deal Analyzer'!$B$4*(1+NORM.INV(RAND(),0,$J$4)))</f>
        <v/>
      </c>
      <c r="C638" s="12">
        <f>'Deal Analyzer'!$B$5*MAX(0.9,1+NORM.INV(RAND(),$J$5,$J$6))</f>
        <v/>
      </c>
      <c r="D638" s="12">
        <f>'Deal Analyzer'!$B$24+C638+B638*'Deal Analyzer'!$B$11</f>
        <v/>
      </c>
      <c r="E638" s="15">
        <f>IF(B638=0,0,(B638-D638)/B638)</f>
        <v/>
      </c>
      <c r="F638" s="2">
        <f>E638&gt;='Deal Analyzer'!$B$12</f>
        <v/>
      </c>
      <c r="G638" s="12">
        <f>IF(AND(F638,RAND()&lt;$J$7),'Deal Analyzer'!$B$8-'Deal Analyzer'!$B$10,-('Deal Analyzer'!$B$10+'Deal Analyzer'!$B$9*'Deal Analyzer'!$B$14))</f>
        <v/>
      </c>
      <c r="H638" s="2" t="n"/>
      <c r="I638" s="2" t="n"/>
      <c r="J638" s="2" t="n"/>
      <c r="K638" s="2" t="n"/>
    </row>
    <row r="639">
      <c r="A639" s="2" t="n">
        <v>628</v>
      </c>
      <c r="B639" s="12">
        <f>MAX(0,'Deal Analyzer'!$B$4*(1+NORM.INV(RAND(),0,$J$4)))</f>
        <v/>
      </c>
      <c r="C639" s="12">
        <f>'Deal Analyzer'!$B$5*MAX(0.9,1+NORM.INV(RAND(),$J$5,$J$6))</f>
        <v/>
      </c>
      <c r="D639" s="12">
        <f>'Deal Analyzer'!$B$24+C639+B639*'Deal Analyzer'!$B$11</f>
        <v/>
      </c>
      <c r="E639" s="15">
        <f>IF(B639=0,0,(B639-D639)/B639)</f>
        <v/>
      </c>
      <c r="F639" s="2">
        <f>E639&gt;='Deal Analyzer'!$B$12</f>
        <v/>
      </c>
      <c r="G639" s="12">
        <f>IF(AND(F639,RAND()&lt;$J$7),'Deal Analyzer'!$B$8-'Deal Analyzer'!$B$10,-('Deal Analyzer'!$B$10+'Deal Analyzer'!$B$9*'Deal Analyzer'!$B$14))</f>
        <v/>
      </c>
      <c r="H639" s="2" t="n"/>
      <c r="I639" s="2" t="n"/>
      <c r="J639" s="2" t="n"/>
      <c r="K639" s="2" t="n"/>
    </row>
    <row r="640">
      <c r="A640" s="2" t="n">
        <v>629</v>
      </c>
      <c r="B640" s="12">
        <f>MAX(0,'Deal Analyzer'!$B$4*(1+NORM.INV(RAND(),0,$J$4)))</f>
        <v/>
      </c>
      <c r="C640" s="12">
        <f>'Deal Analyzer'!$B$5*MAX(0.9,1+NORM.INV(RAND(),$J$5,$J$6))</f>
        <v/>
      </c>
      <c r="D640" s="12">
        <f>'Deal Analyzer'!$B$24+C640+B640*'Deal Analyzer'!$B$11</f>
        <v/>
      </c>
      <c r="E640" s="15">
        <f>IF(B640=0,0,(B640-D640)/B640)</f>
        <v/>
      </c>
      <c r="F640" s="2">
        <f>E640&gt;='Deal Analyzer'!$B$12</f>
        <v/>
      </c>
      <c r="G640" s="12">
        <f>IF(AND(F640,RAND()&lt;$J$7),'Deal Analyzer'!$B$8-'Deal Analyzer'!$B$10,-('Deal Analyzer'!$B$10+'Deal Analyzer'!$B$9*'Deal Analyzer'!$B$14))</f>
        <v/>
      </c>
      <c r="H640" s="2" t="n"/>
      <c r="I640" s="2" t="n"/>
      <c r="J640" s="2" t="n"/>
      <c r="K640" s="2" t="n"/>
    </row>
    <row r="641">
      <c r="A641" s="2" t="n">
        <v>630</v>
      </c>
      <c r="B641" s="12">
        <f>MAX(0,'Deal Analyzer'!$B$4*(1+NORM.INV(RAND(),0,$J$4)))</f>
        <v/>
      </c>
      <c r="C641" s="12">
        <f>'Deal Analyzer'!$B$5*MAX(0.9,1+NORM.INV(RAND(),$J$5,$J$6))</f>
        <v/>
      </c>
      <c r="D641" s="12">
        <f>'Deal Analyzer'!$B$24+C641+B641*'Deal Analyzer'!$B$11</f>
        <v/>
      </c>
      <c r="E641" s="15">
        <f>IF(B641=0,0,(B641-D641)/B641)</f>
        <v/>
      </c>
      <c r="F641" s="2">
        <f>E641&gt;='Deal Analyzer'!$B$12</f>
        <v/>
      </c>
      <c r="G641" s="12">
        <f>IF(AND(F641,RAND()&lt;$J$7),'Deal Analyzer'!$B$8-'Deal Analyzer'!$B$10,-('Deal Analyzer'!$B$10+'Deal Analyzer'!$B$9*'Deal Analyzer'!$B$14))</f>
        <v/>
      </c>
      <c r="H641" s="2" t="n"/>
      <c r="I641" s="2" t="n"/>
      <c r="J641" s="2" t="n"/>
      <c r="K641" s="2" t="n"/>
    </row>
    <row r="642">
      <c r="A642" s="2" t="n">
        <v>631</v>
      </c>
      <c r="B642" s="12">
        <f>MAX(0,'Deal Analyzer'!$B$4*(1+NORM.INV(RAND(),0,$J$4)))</f>
        <v/>
      </c>
      <c r="C642" s="12">
        <f>'Deal Analyzer'!$B$5*MAX(0.9,1+NORM.INV(RAND(),$J$5,$J$6))</f>
        <v/>
      </c>
      <c r="D642" s="12">
        <f>'Deal Analyzer'!$B$24+C642+B642*'Deal Analyzer'!$B$11</f>
        <v/>
      </c>
      <c r="E642" s="15">
        <f>IF(B642=0,0,(B642-D642)/B642)</f>
        <v/>
      </c>
      <c r="F642" s="2">
        <f>E642&gt;='Deal Analyzer'!$B$12</f>
        <v/>
      </c>
      <c r="G642" s="12">
        <f>IF(AND(F642,RAND()&lt;$J$7),'Deal Analyzer'!$B$8-'Deal Analyzer'!$B$10,-('Deal Analyzer'!$B$10+'Deal Analyzer'!$B$9*'Deal Analyzer'!$B$14))</f>
        <v/>
      </c>
      <c r="H642" s="2" t="n"/>
      <c r="I642" s="2" t="n"/>
      <c r="J642" s="2" t="n"/>
      <c r="K642" s="2" t="n"/>
    </row>
    <row r="643">
      <c r="A643" s="2" t="n">
        <v>632</v>
      </c>
      <c r="B643" s="12">
        <f>MAX(0,'Deal Analyzer'!$B$4*(1+NORM.INV(RAND(),0,$J$4)))</f>
        <v/>
      </c>
      <c r="C643" s="12">
        <f>'Deal Analyzer'!$B$5*MAX(0.9,1+NORM.INV(RAND(),$J$5,$J$6))</f>
        <v/>
      </c>
      <c r="D643" s="12">
        <f>'Deal Analyzer'!$B$24+C643+B643*'Deal Analyzer'!$B$11</f>
        <v/>
      </c>
      <c r="E643" s="15">
        <f>IF(B643=0,0,(B643-D643)/B643)</f>
        <v/>
      </c>
      <c r="F643" s="2">
        <f>E643&gt;='Deal Analyzer'!$B$12</f>
        <v/>
      </c>
      <c r="G643" s="12">
        <f>IF(AND(F643,RAND()&lt;$J$7),'Deal Analyzer'!$B$8-'Deal Analyzer'!$B$10,-('Deal Analyzer'!$B$10+'Deal Analyzer'!$B$9*'Deal Analyzer'!$B$14))</f>
        <v/>
      </c>
      <c r="H643" s="2" t="n"/>
      <c r="I643" s="2" t="n"/>
      <c r="J643" s="2" t="n"/>
      <c r="K643" s="2" t="n"/>
    </row>
    <row r="644">
      <c r="A644" s="2" t="n">
        <v>633</v>
      </c>
      <c r="B644" s="12">
        <f>MAX(0,'Deal Analyzer'!$B$4*(1+NORM.INV(RAND(),0,$J$4)))</f>
        <v/>
      </c>
      <c r="C644" s="12">
        <f>'Deal Analyzer'!$B$5*MAX(0.9,1+NORM.INV(RAND(),$J$5,$J$6))</f>
        <v/>
      </c>
      <c r="D644" s="12">
        <f>'Deal Analyzer'!$B$24+C644+B644*'Deal Analyzer'!$B$11</f>
        <v/>
      </c>
      <c r="E644" s="15">
        <f>IF(B644=0,0,(B644-D644)/B644)</f>
        <v/>
      </c>
      <c r="F644" s="2">
        <f>E644&gt;='Deal Analyzer'!$B$12</f>
        <v/>
      </c>
      <c r="G644" s="12">
        <f>IF(AND(F644,RAND()&lt;$J$7),'Deal Analyzer'!$B$8-'Deal Analyzer'!$B$10,-('Deal Analyzer'!$B$10+'Deal Analyzer'!$B$9*'Deal Analyzer'!$B$14))</f>
        <v/>
      </c>
      <c r="H644" s="2" t="n"/>
      <c r="I644" s="2" t="n"/>
      <c r="J644" s="2" t="n"/>
      <c r="K644" s="2" t="n"/>
    </row>
    <row r="645">
      <c r="A645" s="2" t="n">
        <v>634</v>
      </c>
      <c r="B645" s="12">
        <f>MAX(0,'Deal Analyzer'!$B$4*(1+NORM.INV(RAND(),0,$J$4)))</f>
        <v/>
      </c>
      <c r="C645" s="12">
        <f>'Deal Analyzer'!$B$5*MAX(0.9,1+NORM.INV(RAND(),$J$5,$J$6))</f>
        <v/>
      </c>
      <c r="D645" s="12">
        <f>'Deal Analyzer'!$B$24+C645+B645*'Deal Analyzer'!$B$11</f>
        <v/>
      </c>
      <c r="E645" s="15">
        <f>IF(B645=0,0,(B645-D645)/B645)</f>
        <v/>
      </c>
      <c r="F645" s="2">
        <f>E645&gt;='Deal Analyzer'!$B$12</f>
        <v/>
      </c>
      <c r="G645" s="12">
        <f>IF(AND(F645,RAND()&lt;$J$7),'Deal Analyzer'!$B$8-'Deal Analyzer'!$B$10,-('Deal Analyzer'!$B$10+'Deal Analyzer'!$B$9*'Deal Analyzer'!$B$14))</f>
        <v/>
      </c>
      <c r="H645" s="2" t="n"/>
      <c r="I645" s="2" t="n"/>
      <c r="J645" s="2" t="n"/>
      <c r="K645" s="2" t="n"/>
    </row>
    <row r="646">
      <c r="A646" s="2" t="n">
        <v>635</v>
      </c>
      <c r="B646" s="12">
        <f>MAX(0,'Deal Analyzer'!$B$4*(1+NORM.INV(RAND(),0,$J$4)))</f>
        <v/>
      </c>
      <c r="C646" s="12">
        <f>'Deal Analyzer'!$B$5*MAX(0.9,1+NORM.INV(RAND(),$J$5,$J$6))</f>
        <v/>
      </c>
      <c r="D646" s="12">
        <f>'Deal Analyzer'!$B$24+C646+B646*'Deal Analyzer'!$B$11</f>
        <v/>
      </c>
      <c r="E646" s="15">
        <f>IF(B646=0,0,(B646-D646)/B646)</f>
        <v/>
      </c>
      <c r="F646" s="2">
        <f>E646&gt;='Deal Analyzer'!$B$12</f>
        <v/>
      </c>
      <c r="G646" s="12">
        <f>IF(AND(F646,RAND()&lt;$J$7),'Deal Analyzer'!$B$8-'Deal Analyzer'!$B$10,-('Deal Analyzer'!$B$10+'Deal Analyzer'!$B$9*'Deal Analyzer'!$B$14))</f>
        <v/>
      </c>
      <c r="H646" s="2" t="n"/>
      <c r="I646" s="2" t="n"/>
      <c r="J646" s="2" t="n"/>
      <c r="K646" s="2" t="n"/>
    </row>
    <row r="647">
      <c r="A647" s="2" t="n">
        <v>636</v>
      </c>
      <c r="B647" s="12">
        <f>MAX(0,'Deal Analyzer'!$B$4*(1+NORM.INV(RAND(),0,$J$4)))</f>
        <v/>
      </c>
      <c r="C647" s="12">
        <f>'Deal Analyzer'!$B$5*MAX(0.9,1+NORM.INV(RAND(),$J$5,$J$6))</f>
        <v/>
      </c>
      <c r="D647" s="12">
        <f>'Deal Analyzer'!$B$24+C647+B647*'Deal Analyzer'!$B$11</f>
        <v/>
      </c>
      <c r="E647" s="15">
        <f>IF(B647=0,0,(B647-D647)/B647)</f>
        <v/>
      </c>
      <c r="F647" s="2">
        <f>E647&gt;='Deal Analyzer'!$B$12</f>
        <v/>
      </c>
      <c r="G647" s="12">
        <f>IF(AND(F647,RAND()&lt;$J$7),'Deal Analyzer'!$B$8-'Deal Analyzer'!$B$10,-('Deal Analyzer'!$B$10+'Deal Analyzer'!$B$9*'Deal Analyzer'!$B$14))</f>
        <v/>
      </c>
      <c r="H647" s="2" t="n"/>
      <c r="I647" s="2" t="n"/>
      <c r="J647" s="2" t="n"/>
      <c r="K647" s="2" t="n"/>
    </row>
    <row r="648">
      <c r="A648" s="2" t="n">
        <v>637</v>
      </c>
      <c r="B648" s="12">
        <f>MAX(0,'Deal Analyzer'!$B$4*(1+NORM.INV(RAND(),0,$J$4)))</f>
        <v/>
      </c>
      <c r="C648" s="12">
        <f>'Deal Analyzer'!$B$5*MAX(0.9,1+NORM.INV(RAND(),$J$5,$J$6))</f>
        <v/>
      </c>
      <c r="D648" s="12">
        <f>'Deal Analyzer'!$B$24+C648+B648*'Deal Analyzer'!$B$11</f>
        <v/>
      </c>
      <c r="E648" s="15">
        <f>IF(B648=0,0,(B648-D648)/B648)</f>
        <v/>
      </c>
      <c r="F648" s="2">
        <f>E648&gt;='Deal Analyzer'!$B$12</f>
        <v/>
      </c>
      <c r="G648" s="12">
        <f>IF(AND(F648,RAND()&lt;$J$7),'Deal Analyzer'!$B$8-'Deal Analyzer'!$B$10,-('Deal Analyzer'!$B$10+'Deal Analyzer'!$B$9*'Deal Analyzer'!$B$14))</f>
        <v/>
      </c>
      <c r="H648" s="2" t="n"/>
      <c r="I648" s="2" t="n"/>
      <c r="J648" s="2" t="n"/>
      <c r="K648" s="2" t="n"/>
    </row>
    <row r="649">
      <c r="A649" s="2" t="n">
        <v>638</v>
      </c>
      <c r="B649" s="12">
        <f>MAX(0,'Deal Analyzer'!$B$4*(1+NORM.INV(RAND(),0,$J$4)))</f>
        <v/>
      </c>
      <c r="C649" s="12">
        <f>'Deal Analyzer'!$B$5*MAX(0.9,1+NORM.INV(RAND(),$J$5,$J$6))</f>
        <v/>
      </c>
      <c r="D649" s="12">
        <f>'Deal Analyzer'!$B$24+C649+B649*'Deal Analyzer'!$B$11</f>
        <v/>
      </c>
      <c r="E649" s="15">
        <f>IF(B649=0,0,(B649-D649)/B649)</f>
        <v/>
      </c>
      <c r="F649" s="2">
        <f>E649&gt;='Deal Analyzer'!$B$12</f>
        <v/>
      </c>
      <c r="G649" s="12">
        <f>IF(AND(F649,RAND()&lt;$J$7),'Deal Analyzer'!$B$8-'Deal Analyzer'!$B$10,-('Deal Analyzer'!$B$10+'Deal Analyzer'!$B$9*'Deal Analyzer'!$B$14))</f>
        <v/>
      </c>
      <c r="H649" s="2" t="n"/>
      <c r="I649" s="2" t="n"/>
      <c r="J649" s="2" t="n"/>
      <c r="K649" s="2" t="n"/>
    </row>
    <row r="650">
      <c r="A650" s="2" t="n">
        <v>639</v>
      </c>
      <c r="B650" s="12">
        <f>MAX(0,'Deal Analyzer'!$B$4*(1+NORM.INV(RAND(),0,$J$4)))</f>
        <v/>
      </c>
      <c r="C650" s="12">
        <f>'Deal Analyzer'!$B$5*MAX(0.9,1+NORM.INV(RAND(),$J$5,$J$6))</f>
        <v/>
      </c>
      <c r="D650" s="12">
        <f>'Deal Analyzer'!$B$24+C650+B650*'Deal Analyzer'!$B$11</f>
        <v/>
      </c>
      <c r="E650" s="15">
        <f>IF(B650=0,0,(B650-D650)/B650)</f>
        <v/>
      </c>
      <c r="F650" s="2">
        <f>E650&gt;='Deal Analyzer'!$B$12</f>
        <v/>
      </c>
      <c r="G650" s="12">
        <f>IF(AND(F650,RAND()&lt;$J$7),'Deal Analyzer'!$B$8-'Deal Analyzer'!$B$10,-('Deal Analyzer'!$B$10+'Deal Analyzer'!$B$9*'Deal Analyzer'!$B$14))</f>
        <v/>
      </c>
      <c r="H650" s="2" t="n"/>
      <c r="I650" s="2" t="n"/>
      <c r="J650" s="2" t="n"/>
      <c r="K650" s="2" t="n"/>
    </row>
    <row r="651">
      <c r="A651" s="2" t="n">
        <v>640</v>
      </c>
      <c r="B651" s="12">
        <f>MAX(0,'Deal Analyzer'!$B$4*(1+NORM.INV(RAND(),0,$J$4)))</f>
        <v/>
      </c>
      <c r="C651" s="12">
        <f>'Deal Analyzer'!$B$5*MAX(0.9,1+NORM.INV(RAND(),$J$5,$J$6))</f>
        <v/>
      </c>
      <c r="D651" s="12">
        <f>'Deal Analyzer'!$B$24+C651+B651*'Deal Analyzer'!$B$11</f>
        <v/>
      </c>
      <c r="E651" s="15">
        <f>IF(B651=0,0,(B651-D651)/B651)</f>
        <v/>
      </c>
      <c r="F651" s="2">
        <f>E651&gt;='Deal Analyzer'!$B$12</f>
        <v/>
      </c>
      <c r="G651" s="12">
        <f>IF(AND(F651,RAND()&lt;$J$7),'Deal Analyzer'!$B$8-'Deal Analyzer'!$B$10,-('Deal Analyzer'!$B$10+'Deal Analyzer'!$B$9*'Deal Analyzer'!$B$14))</f>
        <v/>
      </c>
      <c r="H651" s="2" t="n"/>
      <c r="I651" s="2" t="n"/>
      <c r="J651" s="2" t="n"/>
      <c r="K651" s="2" t="n"/>
    </row>
    <row r="652">
      <c r="A652" s="2" t="n">
        <v>641</v>
      </c>
      <c r="B652" s="12">
        <f>MAX(0,'Deal Analyzer'!$B$4*(1+NORM.INV(RAND(),0,$J$4)))</f>
        <v/>
      </c>
      <c r="C652" s="12">
        <f>'Deal Analyzer'!$B$5*MAX(0.9,1+NORM.INV(RAND(),$J$5,$J$6))</f>
        <v/>
      </c>
      <c r="D652" s="12">
        <f>'Deal Analyzer'!$B$24+C652+B652*'Deal Analyzer'!$B$11</f>
        <v/>
      </c>
      <c r="E652" s="15">
        <f>IF(B652=0,0,(B652-D652)/B652)</f>
        <v/>
      </c>
      <c r="F652" s="2">
        <f>E652&gt;='Deal Analyzer'!$B$12</f>
        <v/>
      </c>
      <c r="G652" s="12">
        <f>IF(AND(F652,RAND()&lt;$J$7),'Deal Analyzer'!$B$8-'Deal Analyzer'!$B$10,-('Deal Analyzer'!$B$10+'Deal Analyzer'!$B$9*'Deal Analyzer'!$B$14))</f>
        <v/>
      </c>
      <c r="H652" s="2" t="n"/>
      <c r="I652" s="2" t="n"/>
      <c r="J652" s="2" t="n"/>
      <c r="K652" s="2" t="n"/>
    </row>
    <row r="653">
      <c r="A653" s="2" t="n">
        <v>642</v>
      </c>
      <c r="B653" s="12">
        <f>MAX(0,'Deal Analyzer'!$B$4*(1+NORM.INV(RAND(),0,$J$4)))</f>
        <v/>
      </c>
      <c r="C653" s="12">
        <f>'Deal Analyzer'!$B$5*MAX(0.9,1+NORM.INV(RAND(),$J$5,$J$6))</f>
        <v/>
      </c>
      <c r="D653" s="12">
        <f>'Deal Analyzer'!$B$24+C653+B653*'Deal Analyzer'!$B$11</f>
        <v/>
      </c>
      <c r="E653" s="15">
        <f>IF(B653=0,0,(B653-D653)/B653)</f>
        <v/>
      </c>
      <c r="F653" s="2">
        <f>E653&gt;='Deal Analyzer'!$B$12</f>
        <v/>
      </c>
      <c r="G653" s="12">
        <f>IF(AND(F653,RAND()&lt;$J$7),'Deal Analyzer'!$B$8-'Deal Analyzer'!$B$10,-('Deal Analyzer'!$B$10+'Deal Analyzer'!$B$9*'Deal Analyzer'!$B$14))</f>
        <v/>
      </c>
      <c r="H653" s="2" t="n"/>
      <c r="I653" s="2" t="n"/>
      <c r="J653" s="2" t="n"/>
      <c r="K653" s="2" t="n"/>
    </row>
    <row r="654">
      <c r="A654" s="2" t="n">
        <v>643</v>
      </c>
      <c r="B654" s="12">
        <f>MAX(0,'Deal Analyzer'!$B$4*(1+NORM.INV(RAND(),0,$J$4)))</f>
        <v/>
      </c>
      <c r="C654" s="12">
        <f>'Deal Analyzer'!$B$5*MAX(0.9,1+NORM.INV(RAND(),$J$5,$J$6))</f>
        <v/>
      </c>
      <c r="D654" s="12">
        <f>'Deal Analyzer'!$B$24+C654+B654*'Deal Analyzer'!$B$11</f>
        <v/>
      </c>
      <c r="E654" s="15">
        <f>IF(B654=0,0,(B654-D654)/B654)</f>
        <v/>
      </c>
      <c r="F654" s="2">
        <f>E654&gt;='Deal Analyzer'!$B$12</f>
        <v/>
      </c>
      <c r="G654" s="12">
        <f>IF(AND(F654,RAND()&lt;$J$7),'Deal Analyzer'!$B$8-'Deal Analyzer'!$B$10,-('Deal Analyzer'!$B$10+'Deal Analyzer'!$B$9*'Deal Analyzer'!$B$14))</f>
        <v/>
      </c>
      <c r="H654" s="2" t="n"/>
      <c r="I654" s="2" t="n"/>
      <c r="J654" s="2" t="n"/>
      <c r="K654" s="2" t="n"/>
    </row>
    <row r="655">
      <c r="A655" s="2" t="n">
        <v>644</v>
      </c>
      <c r="B655" s="12">
        <f>MAX(0,'Deal Analyzer'!$B$4*(1+NORM.INV(RAND(),0,$J$4)))</f>
        <v/>
      </c>
      <c r="C655" s="12">
        <f>'Deal Analyzer'!$B$5*MAX(0.9,1+NORM.INV(RAND(),$J$5,$J$6))</f>
        <v/>
      </c>
      <c r="D655" s="12">
        <f>'Deal Analyzer'!$B$24+C655+B655*'Deal Analyzer'!$B$11</f>
        <v/>
      </c>
      <c r="E655" s="15">
        <f>IF(B655=0,0,(B655-D655)/B655)</f>
        <v/>
      </c>
      <c r="F655" s="2">
        <f>E655&gt;='Deal Analyzer'!$B$12</f>
        <v/>
      </c>
      <c r="G655" s="12">
        <f>IF(AND(F655,RAND()&lt;$J$7),'Deal Analyzer'!$B$8-'Deal Analyzer'!$B$10,-('Deal Analyzer'!$B$10+'Deal Analyzer'!$B$9*'Deal Analyzer'!$B$14))</f>
        <v/>
      </c>
      <c r="H655" s="2" t="n"/>
      <c r="I655" s="2" t="n"/>
      <c r="J655" s="2" t="n"/>
      <c r="K655" s="2" t="n"/>
    </row>
    <row r="656">
      <c r="A656" s="2" t="n">
        <v>645</v>
      </c>
      <c r="B656" s="12">
        <f>MAX(0,'Deal Analyzer'!$B$4*(1+NORM.INV(RAND(),0,$J$4)))</f>
        <v/>
      </c>
      <c r="C656" s="12">
        <f>'Deal Analyzer'!$B$5*MAX(0.9,1+NORM.INV(RAND(),$J$5,$J$6))</f>
        <v/>
      </c>
      <c r="D656" s="12">
        <f>'Deal Analyzer'!$B$24+C656+B656*'Deal Analyzer'!$B$11</f>
        <v/>
      </c>
      <c r="E656" s="15">
        <f>IF(B656=0,0,(B656-D656)/B656)</f>
        <v/>
      </c>
      <c r="F656" s="2">
        <f>E656&gt;='Deal Analyzer'!$B$12</f>
        <v/>
      </c>
      <c r="G656" s="12">
        <f>IF(AND(F656,RAND()&lt;$J$7),'Deal Analyzer'!$B$8-'Deal Analyzer'!$B$10,-('Deal Analyzer'!$B$10+'Deal Analyzer'!$B$9*'Deal Analyzer'!$B$14))</f>
        <v/>
      </c>
      <c r="H656" s="2" t="n"/>
      <c r="I656" s="2" t="n"/>
      <c r="J656" s="2" t="n"/>
      <c r="K656" s="2" t="n"/>
    </row>
    <row r="657">
      <c r="A657" s="2" t="n">
        <v>646</v>
      </c>
      <c r="B657" s="12">
        <f>MAX(0,'Deal Analyzer'!$B$4*(1+NORM.INV(RAND(),0,$J$4)))</f>
        <v/>
      </c>
      <c r="C657" s="12">
        <f>'Deal Analyzer'!$B$5*MAX(0.9,1+NORM.INV(RAND(),$J$5,$J$6))</f>
        <v/>
      </c>
      <c r="D657" s="12">
        <f>'Deal Analyzer'!$B$24+C657+B657*'Deal Analyzer'!$B$11</f>
        <v/>
      </c>
      <c r="E657" s="15">
        <f>IF(B657=0,0,(B657-D657)/B657)</f>
        <v/>
      </c>
      <c r="F657" s="2">
        <f>E657&gt;='Deal Analyzer'!$B$12</f>
        <v/>
      </c>
      <c r="G657" s="12">
        <f>IF(AND(F657,RAND()&lt;$J$7),'Deal Analyzer'!$B$8-'Deal Analyzer'!$B$10,-('Deal Analyzer'!$B$10+'Deal Analyzer'!$B$9*'Deal Analyzer'!$B$14))</f>
        <v/>
      </c>
      <c r="H657" s="2" t="n"/>
      <c r="I657" s="2" t="n"/>
      <c r="J657" s="2" t="n"/>
      <c r="K657" s="2" t="n"/>
    </row>
    <row r="658">
      <c r="A658" s="2" t="n">
        <v>647</v>
      </c>
      <c r="B658" s="12">
        <f>MAX(0,'Deal Analyzer'!$B$4*(1+NORM.INV(RAND(),0,$J$4)))</f>
        <v/>
      </c>
      <c r="C658" s="12">
        <f>'Deal Analyzer'!$B$5*MAX(0.9,1+NORM.INV(RAND(),$J$5,$J$6))</f>
        <v/>
      </c>
      <c r="D658" s="12">
        <f>'Deal Analyzer'!$B$24+C658+B658*'Deal Analyzer'!$B$11</f>
        <v/>
      </c>
      <c r="E658" s="15">
        <f>IF(B658=0,0,(B658-D658)/B658)</f>
        <v/>
      </c>
      <c r="F658" s="2">
        <f>E658&gt;='Deal Analyzer'!$B$12</f>
        <v/>
      </c>
      <c r="G658" s="12">
        <f>IF(AND(F658,RAND()&lt;$J$7),'Deal Analyzer'!$B$8-'Deal Analyzer'!$B$10,-('Deal Analyzer'!$B$10+'Deal Analyzer'!$B$9*'Deal Analyzer'!$B$14))</f>
        <v/>
      </c>
      <c r="H658" s="2" t="n"/>
      <c r="I658" s="2" t="n"/>
      <c r="J658" s="2" t="n"/>
      <c r="K658" s="2" t="n"/>
    </row>
    <row r="659">
      <c r="A659" s="2" t="n">
        <v>648</v>
      </c>
      <c r="B659" s="12">
        <f>MAX(0,'Deal Analyzer'!$B$4*(1+NORM.INV(RAND(),0,$J$4)))</f>
        <v/>
      </c>
      <c r="C659" s="12">
        <f>'Deal Analyzer'!$B$5*MAX(0.9,1+NORM.INV(RAND(),$J$5,$J$6))</f>
        <v/>
      </c>
      <c r="D659" s="12">
        <f>'Deal Analyzer'!$B$24+C659+B659*'Deal Analyzer'!$B$11</f>
        <v/>
      </c>
      <c r="E659" s="15">
        <f>IF(B659=0,0,(B659-D659)/B659)</f>
        <v/>
      </c>
      <c r="F659" s="2">
        <f>E659&gt;='Deal Analyzer'!$B$12</f>
        <v/>
      </c>
      <c r="G659" s="12">
        <f>IF(AND(F659,RAND()&lt;$J$7),'Deal Analyzer'!$B$8-'Deal Analyzer'!$B$10,-('Deal Analyzer'!$B$10+'Deal Analyzer'!$B$9*'Deal Analyzer'!$B$14))</f>
        <v/>
      </c>
      <c r="H659" s="2" t="n"/>
      <c r="I659" s="2" t="n"/>
      <c r="J659" s="2" t="n"/>
      <c r="K659" s="2" t="n"/>
    </row>
    <row r="660">
      <c r="A660" s="2" t="n">
        <v>649</v>
      </c>
      <c r="B660" s="12">
        <f>MAX(0,'Deal Analyzer'!$B$4*(1+NORM.INV(RAND(),0,$J$4)))</f>
        <v/>
      </c>
      <c r="C660" s="12">
        <f>'Deal Analyzer'!$B$5*MAX(0.9,1+NORM.INV(RAND(),$J$5,$J$6))</f>
        <v/>
      </c>
      <c r="D660" s="12">
        <f>'Deal Analyzer'!$B$24+C660+B660*'Deal Analyzer'!$B$11</f>
        <v/>
      </c>
      <c r="E660" s="15">
        <f>IF(B660=0,0,(B660-D660)/B660)</f>
        <v/>
      </c>
      <c r="F660" s="2">
        <f>E660&gt;='Deal Analyzer'!$B$12</f>
        <v/>
      </c>
      <c r="G660" s="12">
        <f>IF(AND(F660,RAND()&lt;$J$7),'Deal Analyzer'!$B$8-'Deal Analyzer'!$B$10,-('Deal Analyzer'!$B$10+'Deal Analyzer'!$B$9*'Deal Analyzer'!$B$14))</f>
        <v/>
      </c>
      <c r="H660" s="2" t="n"/>
      <c r="I660" s="2" t="n"/>
      <c r="J660" s="2" t="n"/>
      <c r="K660" s="2" t="n"/>
    </row>
    <row r="661">
      <c r="A661" s="2" t="n">
        <v>650</v>
      </c>
      <c r="B661" s="12">
        <f>MAX(0,'Deal Analyzer'!$B$4*(1+NORM.INV(RAND(),0,$J$4)))</f>
        <v/>
      </c>
      <c r="C661" s="12">
        <f>'Deal Analyzer'!$B$5*MAX(0.9,1+NORM.INV(RAND(),$J$5,$J$6))</f>
        <v/>
      </c>
      <c r="D661" s="12">
        <f>'Deal Analyzer'!$B$24+C661+B661*'Deal Analyzer'!$B$11</f>
        <v/>
      </c>
      <c r="E661" s="15">
        <f>IF(B661=0,0,(B661-D661)/B661)</f>
        <v/>
      </c>
      <c r="F661" s="2">
        <f>E661&gt;='Deal Analyzer'!$B$12</f>
        <v/>
      </c>
      <c r="G661" s="12">
        <f>IF(AND(F661,RAND()&lt;$J$7),'Deal Analyzer'!$B$8-'Deal Analyzer'!$B$10,-('Deal Analyzer'!$B$10+'Deal Analyzer'!$B$9*'Deal Analyzer'!$B$14))</f>
        <v/>
      </c>
      <c r="H661" s="2" t="n"/>
      <c r="I661" s="2" t="n"/>
      <c r="J661" s="2" t="n"/>
      <c r="K661" s="2" t="n"/>
    </row>
    <row r="662">
      <c r="A662" s="2" t="n">
        <v>651</v>
      </c>
      <c r="B662" s="12">
        <f>MAX(0,'Deal Analyzer'!$B$4*(1+NORM.INV(RAND(),0,$J$4)))</f>
        <v/>
      </c>
      <c r="C662" s="12">
        <f>'Deal Analyzer'!$B$5*MAX(0.9,1+NORM.INV(RAND(),$J$5,$J$6))</f>
        <v/>
      </c>
      <c r="D662" s="12">
        <f>'Deal Analyzer'!$B$24+C662+B662*'Deal Analyzer'!$B$11</f>
        <v/>
      </c>
      <c r="E662" s="15">
        <f>IF(B662=0,0,(B662-D662)/B662)</f>
        <v/>
      </c>
      <c r="F662" s="2">
        <f>E662&gt;='Deal Analyzer'!$B$12</f>
        <v/>
      </c>
      <c r="G662" s="12">
        <f>IF(AND(F662,RAND()&lt;$J$7),'Deal Analyzer'!$B$8-'Deal Analyzer'!$B$10,-('Deal Analyzer'!$B$10+'Deal Analyzer'!$B$9*'Deal Analyzer'!$B$14))</f>
        <v/>
      </c>
      <c r="H662" s="2" t="n"/>
      <c r="I662" s="2" t="n"/>
      <c r="J662" s="2" t="n"/>
      <c r="K662" s="2" t="n"/>
    </row>
    <row r="663">
      <c r="A663" s="2" t="n">
        <v>652</v>
      </c>
      <c r="B663" s="12">
        <f>MAX(0,'Deal Analyzer'!$B$4*(1+NORM.INV(RAND(),0,$J$4)))</f>
        <v/>
      </c>
      <c r="C663" s="12">
        <f>'Deal Analyzer'!$B$5*MAX(0.9,1+NORM.INV(RAND(),$J$5,$J$6))</f>
        <v/>
      </c>
      <c r="D663" s="12">
        <f>'Deal Analyzer'!$B$24+C663+B663*'Deal Analyzer'!$B$11</f>
        <v/>
      </c>
      <c r="E663" s="15">
        <f>IF(B663=0,0,(B663-D663)/B663)</f>
        <v/>
      </c>
      <c r="F663" s="2">
        <f>E663&gt;='Deal Analyzer'!$B$12</f>
        <v/>
      </c>
      <c r="G663" s="12">
        <f>IF(AND(F663,RAND()&lt;$J$7),'Deal Analyzer'!$B$8-'Deal Analyzer'!$B$10,-('Deal Analyzer'!$B$10+'Deal Analyzer'!$B$9*'Deal Analyzer'!$B$14))</f>
        <v/>
      </c>
      <c r="H663" s="2" t="n"/>
      <c r="I663" s="2" t="n"/>
      <c r="J663" s="2" t="n"/>
      <c r="K663" s="2" t="n"/>
    </row>
    <row r="664">
      <c r="A664" s="2" t="n">
        <v>653</v>
      </c>
      <c r="B664" s="12">
        <f>MAX(0,'Deal Analyzer'!$B$4*(1+NORM.INV(RAND(),0,$J$4)))</f>
        <v/>
      </c>
      <c r="C664" s="12">
        <f>'Deal Analyzer'!$B$5*MAX(0.9,1+NORM.INV(RAND(),$J$5,$J$6))</f>
        <v/>
      </c>
      <c r="D664" s="12">
        <f>'Deal Analyzer'!$B$24+C664+B664*'Deal Analyzer'!$B$11</f>
        <v/>
      </c>
      <c r="E664" s="15">
        <f>IF(B664=0,0,(B664-D664)/B664)</f>
        <v/>
      </c>
      <c r="F664" s="2">
        <f>E664&gt;='Deal Analyzer'!$B$12</f>
        <v/>
      </c>
      <c r="G664" s="12">
        <f>IF(AND(F664,RAND()&lt;$J$7),'Deal Analyzer'!$B$8-'Deal Analyzer'!$B$10,-('Deal Analyzer'!$B$10+'Deal Analyzer'!$B$9*'Deal Analyzer'!$B$14))</f>
        <v/>
      </c>
      <c r="H664" s="2" t="n"/>
      <c r="I664" s="2" t="n"/>
      <c r="J664" s="2" t="n"/>
      <c r="K664" s="2" t="n"/>
    </row>
    <row r="665">
      <c r="A665" s="2" t="n">
        <v>654</v>
      </c>
      <c r="B665" s="12">
        <f>MAX(0,'Deal Analyzer'!$B$4*(1+NORM.INV(RAND(),0,$J$4)))</f>
        <v/>
      </c>
      <c r="C665" s="12">
        <f>'Deal Analyzer'!$B$5*MAX(0.9,1+NORM.INV(RAND(),$J$5,$J$6))</f>
        <v/>
      </c>
      <c r="D665" s="12">
        <f>'Deal Analyzer'!$B$24+C665+B665*'Deal Analyzer'!$B$11</f>
        <v/>
      </c>
      <c r="E665" s="15">
        <f>IF(B665=0,0,(B665-D665)/B665)</f>
        <v/>
      </c>
      <c r="F665" s="2">
        <f>E665&gt;='Deal Analyzer'!$B$12</f>
        <v/>
      </c>
      <c r="G665" s="12">
        <f>IF(AND(F665,RAND()&lt;$J$7),'Deal Analyzer'!$B$8-'Deal Analyzer'!$B$10,-('Deal Analyzer'!$B$10+'Deal Analyzer'!$B$9*'Deal Analyzer'!$B$14))</f>
        <v/>
      </c>
      <c r="H665" s="2" t="n"/>
      <c r="I665" s="2" t="n"/>
      <c r="J665" s="2" t="n"/>
      <c r="K665" s="2" t="n"/>
    </row>
    <row r="666">
      <c r="A666" s="2" t="n">
        <v>655</v>
      </c>
      <c r="B666" s="12">
        <f>MAX(0,'Deal Analyzer'!$B$4*(1+NORM.INV(RAND(),0,$J$4)))</f>
        <v/>
      </c>
      <c r="C666" s="12">
        <f>'Deal Analyzer'!$B$5*MAX(0.9,1+NORM.INV(RAND(),$J$5,$J$6))</f>
        <v/>
      </c>
      <c r="D666" s="12">
        <f>'Deal Analyzer'!$B$24+C666+B666*'Deal Analyzer'!$B$11</f>
        <v/>
      </c>
      <c r="E666" s="15">
        <f>IF(B666=0,0,(B666-D666)/B666)</f>
        <v/>
      </c>
      <c r="F666" s="2">
        <f>E666&gt;='Deal Analyzer'!$B$12</f>
        <v/>
      </c>
      <c r="G666" s="12">
        <f>IF(AND(F666,RAND()&lt;$J$7),'Deal Analyzer'!$B$8-'Deal Analyzer'!$B$10,-('Deal Analyzer'!$B$10+'Deal Analyzer'!$B$9*'Deal Analyzer'!$B$14))</f>
        <v/>
      </c>
      <c r="H666" s="2" t="n"/>
      <c r="I666" s="2" t="n"/>
      <c r="J666" s="2" t="n"/>
      <c r="K666" s="2" t="n"/>
    </row>
    <row r="667">
      <c r="A667" s="2" t="n">
        <v>656</v>
      </c>
      <c r="B667" s="12">
        <f>MAX(0,'Deal Analyzer'!$B$4*(1+NORM.INV(RAND(),0,$J$4)))</f>
        <v/>
      </c>
      <c r="C667" s="12">
        <f>'Deal Analyzer'!$B$5*MAX(0.9,1+NORM.INV(RAND(),$J$5,$J$6))</f>
        <v/>
      </c>
      <c r="D667" s="12">
        <f>'Deal Analyzer'!$B$24+C667+B667*'Deal Analyzer'!$B$11</f>
        <v/>
      </c>
      <c r="E667" s="15">
        <f>IF(B667=0,0,(B667-D667)/B667)</f>
        <v/>
      </c>
      <c r="F667" s="2">
        <f>E667&gt;='Deal Analyzer'!$B$12</f>
        <v/>
      </c>
      <c r="G667" s="12">
        <f>IF(AND(F667,RAND()&lt;$J$7),'Deal Analyzer'!$B$8-'Deal Analyzer'!$B$10,-('Deal Analyzer'!$B$10+'Deal Analyzer'!$B$9*'Deal Analyzer'!$B$14))</f>
        <v/>
      </c>
      <c r="H667" s="2" t="n"/>
      <c r="I667" s="2" t="n"/>
      <c r="J667" s="2" t="n"/>
      <c r="K667" s="2" t="n"/>
    </row>
    <row r="668">
      <c r="A668" s="2" t="n">
        <v>657</v>
      </c>
      <c r="B668" s="12">
        <f>MAX(0,'Deal Analyzer'!$B$4*(1+NORM.INV(RAND(),0,$J$4)))</f>
        <v/>
      </c>
      <c r="C668" s="12">
        <f>'Deal Analyzer'!$B$5*MAX(0.9,1+NORM.INV(RAND(),$J$5,$J$6))</f>
        <v/>
      </c>
      <c r="D668" s="12">
        <f>'Deal Analyzer'!$B$24+C668+B668*'Deal Analyzer'!$B$11</f>
        <v/>
      </c>
      <c r="E668" s="15">
        <f>IF(B668=0,0,(B668-D668)/B668)</f>
        <v/>
      </c>
      <c r="F668" s="2">
        <f>E668&gt;='Deal Analyzer'!$B$12</f>
        <v/>
      </c>
      <c r="G668" s="12">
        <f>IF(AND(F668,RAND()&lt;$J$7),'Deal Analyzer'!$B$8-'Deal Analyzer'!$B$10,-('Deal Analyzer'!$B$10+'Deal Analyzer'!$B$9*'Deal Analyzer'!$B$14))</f>
        <v/>
      </c>
      <c r="H668" s="2" t="n"/>
      <c r="I668" s="2" t="n"/>
      <c r="J668" s="2" t="n"/>
      <c r="K668" s="2" t="n"/>
    </row>
    <row r="669">
      <c r="A669" s="2" t="n">
        <v>658</v>
      </c>
      <c r="B669" s="12">
        <f>MAX(0,'Deal Analyzer'!$B$4*(1+NORM.INV(RAND(),0,$J$4)))</f>
        <v/>
      </c>
      <c r="C669" s="12">
        <f>'Deal Analyzer'!$B$5*MAX(0.9,1+NORM.INV(RAND(),$J$5,$J$6))</f>
        <v/>
      </c>
      <c r="D669" s="12">
        <f>'Deal Analyzer'!$B$24+C669+B669*'Deal Analyzer'!$B$11</f>
        <v/>
      </c>
      <c r="E669" s="15">
        <f>IF(B669=0,0,(B669-D669)/B669)</f>
        <v/>
      </c>
      <c r="F669" s="2">
        <f>E669&gt;='Deal Analyzer'!$B$12</f>
        <v/>
      </c>
      <c r="G669" s="12">
        <f>IF(AND(F669,RAND()&lt;$J$7),'Deal Analyzer'!$B$8-'Deal Analyzer'!$B$10,-('Deal Analyzer'!$B$10+'Deal Analyzer'!$B$9*'Deal Analyzer'!$B$14))</f>
        <v/>
      </c>
      <c r="H669" s="2" t="n"/>
      <c r="I669" s="2" t="n"/>
      <c r="J669" s="2" t="n"/>
      <c r="K669" s="2" t="n"/>
    </row>
    <row r="670">
      <c r="A670" s="2" t="n">
        <v>659</v>
      </c>
      <c r="B670" s="12">
        <f>MAX(0,'Deal Analyzer'!$B$4*(1+NORM.INV(RAND(),0,$J$4)))</f>
        <v/>
      </c>
      <c r="C670" s="12">
        <f>'Deal Analyzer'!$B$5*MAX(0.9,1+NORM.INV(RAND(),$J$5,$J$6))</f>
        <v/>
      </c>
      <c r="D670" s="12">
        <f>'Deal Analyzer'!$B$24+C670+B670*'Deal Analyzer'!$B$11</f>
        <v/>
      </c>
      <c r="E670" s="15">
        <f>IF(B670=0,0,(B670-D670)/B670)</f>
        <v/>
      </c>
      <c r="F670" s="2">
        <f>E670&gt;='Deal Analyzer'!$B$12</f>
        <v/>
      </c>
      <c r="G670" s="12">
        <f>IF(AND(F670,RAND()&lt;$J$7),'Deal Analyzer'!$B$8-'Deal Analyzer'!$B$10,-('Deal Analyzer'!$B$10+'Deal Analyzer'!$B$9*'Deal Analyzer'!$B$14))</f>
        <v/>
      </c>
      <c r="H670" s="2" t="n"/>
      <c r="I670" s="2" t="n"/>
      <c r="J670" s="2" t="n"/>
      <c r="K670" s="2" t="n"/>
    </row>
    <row r="671">
      <c r="A671" s="2" t="n">
        <v>660</v>
      </c>
      <c r="B671" s="12">
        <f>MAX(0,'Deal Analyzer'!$B$4*(1+NORM.INV(RAND(),0,$J$4)))</f>
        <v/>
      </c>
      <c r="C671" s="12">
        <f>'Deal Analyzer'!$B$5*MAX(0.9,1+NORM.INV(RAND(),$J$5,$J$6))</f>
        <v/>
      </c>
      <c r="D671" s="12">
        <f>'Deal Analyzer'!$B$24+C671+B671*'Deal Analyzer'!$B$11</f>
        <v/>
      </c>
      <c r="E671" s="15">
        <f>IF(B671=0,0,(B671-D671)/B671)</f>
        <v/>
      </c>
      <c r="F671" s="2">
        <f>E671&gt;='Deal Analyzer'!$B$12</f>
        <v/>
      </c>
      <c r="G671" s="12">
        <f>IF(AND(F671,RAND()&lt;$J$7),'Deal Analyzer'!$B$8-'Deal Analyzer'!$B$10,-('Deal Analyzer'!$B$10+'Deal Analyzer'!$B$9*'Deal Analyzer'!$B$14))</f>
        <v/>
      </c>
      <c r="H671" s="2" t="n"/>
      <c r="I671" s="2" t="n"/>
      <c r="J671" s="2" t="n"/>
      <c r="K671" s="2" t="n"/>
    </row>
    <row r="672">
      <c r="A672" s="2" t="n">
        <v>661</v>
      </c>
      <c r="B672" s="12">
        <f>MAX(0,'Deal Analyzer'!$B$4*(1+NORM.INV(RAND(),0,$J$4)))</f>
        <v/>
      </c>
      <c r="C672" s="12">
        <f>'Deal Analyzer'!$B$5*MAX(0.9,1+NORM.INV(RAND(),$J$5,$J$6))</f>
        <v/>
      </c>
      <c r="D672" s="12">
        <f>'Deal Analyzer'!$B$24+C672+B672*'Deal Analyzer'!$B$11</f>
        <v/>
      </c>
      <c r="E672" s="15">
        <f>IF(B672=0,0,(B672-D672)/B672)</f>
        <v/>
      </c>
      <c r="F672" s="2">
        <f>E672&gt;='Deal Analyzer'!$B$12</f>
        <v/>
      </c>
      <c r="G672" s="12">
        <f>IF(AND(F672,RAND()&lt;$J$7),'Deal Analyzer'!$B$8-'Deal Analyzer'!$B$10,-('Deal Analyzer'!$B$10+'Deal Analyzer'!$B$9*'Deal Analyzer'!$B$14))</f>
        <v/>
      </c>
      <c r="H672" s="2" t="n"/>
      <c r="I672" s="2" t="n"/>
      <c r="J672" s="2" t="n"/>
      <c r="K672" s="2" t="n"/>
    </row>
    <row r="673">
      <c r="A673" s="2" t="n">
        <v>662</v>
      </c>
      <c r="B673" s="12">
        <f>MAX(0,'Deal Analyzer'!$B$4*(1+NORM.INV(RAND(),0,$J$4)))</f>
        <v/>
      </c>
      <c r="C673" s="12">
        <f>'Deal Analyzer'!$B$5*MAX(0.9,1+NORM.INV(RAND(),$J$5,$J$6))</f>
        <v/>
      </c>
      <c r="D673" s="12">
        <f>'Deal Analyzer'!$B$24+C673+B673*'Deal Analyzer'!$B$11</f>
        <v/>
      </c>
      <c r="E673" s="15">
        <f>IF(B673=0,0,(B673-D673)/B673)</f>
        <v/>
      </c>
      <c r="F673" s="2">
        <f>E673&gt;='Deal Analyzer'!$B$12</f>
        <v/>
      </c>
      <c r="G673" s="12">
        <f>IF(AND(F673,RAND()&lt;$J$7),'Deal Analyzer'!$B$8-'Deal Analyzer'!$B$10,-('Deal Analyzer'!$B$10+'Deal Analyzer'!$B$9*'Deal Analyzer'!$B$14))</f>
        <v/>
      </c>
      <c r="H673" s="2" t="n"/>
      <c r="I673" s="2" t="n"/>
      <c r="J673" s="2" t="n"/>
      <c r="K673" s="2" t="n"/>
    </row>
    <row r="674">
      <c r="A674" s="2" t="n">
        <v>663</v>
      </c>
      <c r="B674" s="12">
        <f>MAX(0,'Deal Analyzer'!$B$4*(1+NORM.INV(RAND(),0,$J$4)))</f>
        <v/>
      </c>
      <c r="C674" s="12">
        <f>'Deal Analyzer'!$B$5*MAX(0.9,1+NORM.INV(RAND(),$J$5,$J$6))</f>
        <v/>
      </c>
      <c r="D674" s="12">
        <f>'Deal Analyzer'!$B$24+C674+B674*'Deal Analyzer'!$B$11</f>
        <v/>
      </c>
      <c r="E674" s="15">
        <f>IF(B674=0,0,(B674-D674)/B674)</f>
        <v/>
      </c>
      <c r="F674" s="2">
        <f>E674&gt;='Deal Analyzer'!$B$12</f>
        <v/>
      </c>
      <c r="G674" s="12">
        <f>IF(AND(F674,RAND()&lt;$J$7),'Deal Analyzer'!$B$8-'Deal Analyzer'!$B$10,-('Deal Analyzer'!$B$10+'Deal Analyzer'!$B$9*'Deal Analyzer'!$B$14))</f>
        <v/>
      </c>
      <c r="H674" s="2" t="n"/>
      <c r="I674" s="2" t="n"/>
      <c r="J674" s="2" t="n"/>
      <c r="K674" s="2" t="n"/>
    </row>
    <row r="675">
      <c r="A675" s="2" t="n">
        <v>664</v>
      </c>
      <c r="B675" s="12">
        <f>MAX(0,'Deal Analyzer'!$B$4*(1+NORM.INV(RAND(),0,$J$4)))</f>
        <v/>
      </c>
      <c r="C675" s="12">
        <f>'Deal Analyzer'!$B$5*MAX(0.9,1+NORM.INV(RAND(),$J$5,$J$6))</f>
        <v/>
      </c>
      <c r="D675" s="12">
        <f>'Deal Analyzer'!$B$24+C675+B675*'Deal Analyzer'!$B$11</f>
        <v/>
      </c>
      <c r="E675" s="15">
        <f>IF(B675=0,0,(B675-D675)/B675)</f>
        <v/>
      </c>
      <c r="F675" s="2">
        <f>E675&gt;='Deal Analyzer'!$B$12</f>
        <v/>
      </c>
      <c r="G675" s="12">
        <f>IF(AND(F675,RAND()&lt;$J$7),'Deal Analyzer'!$B$8-'Deal Analyzer'!$B$10,-('Deal Analyzer'!$B$10+'Deal Analyzer'!$B$9*'Deal Analyzer'!$B$14))</f>
        <v/>
      </c>
      <c r="H675" s="2" t="n"/>
      <c r="I675" s="2" t="n"/>
      <c r="J675" s="2" t="n"/>
      <c r="K675" s="2" t="n"/>
    </row>
    <row r="676">
      <c r="A676" s="2" t="n">
        <v>665</v>
      </c>
      <c r="B676" s="12">
        <f>MAX(0,'Deal Analyzer'!$B$4*(1+NORM.INV(RAND(),0,$J$4)))</f>
        <v/>
      </c>
      <c r="C676" s="12">
        <f>'Deal Analyzer'!$B$5*MAX(0.9,1+NORM.INV(RAND(),$J$5,$J$6))</f>
        <v/>
      </c>
      <c r="D676" s="12">
        <f>'Deal Analyzer'!$B$24+C676+B676*'Deal Analyzer'!$B$11</f>
        <v/>
      </c>
      <c r="E676" s="15">
        <f>IF(B676=0,0,(B676-D676)/B676)</f>
        <v/>
      </c>
      <c r="F676" s="2">
        <f>E676&gt;='Deal Analyzer'!$B$12</f>
        <v/>
      </c>
      <c r="G676" s="12">
        <f>IF(AND(F676,RAND()&lt;$J$7),'Deal Analyzer'!$B$8-'Deal Analyzer'!$B$10,-('Deal Analyzer'!$B$10+'Deal Analyzer'!$B$9*'Deal Analyzer'!$B$14))</f>
        <v/>
      </c>
      <c r="H676" s="2" t="n"/>
      <c r="I676" s="2" t="n"/>
      <c r="J676" s="2" t="n"/>
      <c r="K676" s="2" t="n"/>
    </row>
    <row r="677">
      <c r="A677" s="2" t="n">
        <v>666</v>
      </c>
      <c r="B677" s="12">
        <f>MAX(0,'Deal Analyzer'!$B$4*(1+NORM.INV(RAND(),0,$J$4)))</f>
        <v/>
      </c>
      <c r="C677" s="12">
        <f>'Deal Analyzer'!$B$5*MAX(0.9,1+NORM.INV(RAND(),$J$5,$J$6))</f>
        <v/>
      </c>
      <c r="D677" s="12">
        <f>'Deal Analyzer'!$B$24+C677+B677*'Deal Analyzer'!$B$11</f>
        <v/>
      </c>
      <c r="E677" s="15">
        <f>IF(B677=0,0,(B677-D677)/B677)</f>
        <v/>
      </c>
      <c r="F677" s="2">
        <f>E677&gt;='Deal Analyzer'!$B$12</f>
        <v/>
      </c>
      <c r="G677" s="12">
        <f>IF(AND(F677,RAND()&lt;$J$7),'Deal Analyzer'!$B$8-'Deal Analyzer'!$B$10,-('Deal Analyzer'!$B$10+'Deal Analyzer'!$B$9*'Deal Analyzer'!$B$14))</f>
        <v/>
      </c>
      <c r="H677" s="2" t="n"/>
      <c r="I677" s="2" t="n"/>
      <c r="J677" s="2" t="n"/>
      <c r="K677" s="2" t="n"/>
    </row>
    <row r="678">
      <c r="A678" s="2" t="n">
        <v>667</v>
      </c>
      <c r="B678" s="12">
        <f>MAX(0,'Deal Analyzer'!$B$4*(1+NORM.INV(RAND(),0,$J$4)))</f>
        <v/>
      </c>
      <c r="C678" s="12">
        <f>'Deal Analyzer'!$B$5*MAX(0.9,1+NORM.INV(RAND(),$J$5,$J$6))</f>
        <v/>
      </c>
      <c r="D678" s="12">
        <f>'Deal Analyzer'!$B$24+C678+B678*'Deal Analyzer'!$B$11</f>
        <v/>
      </c>
      <c r="E678" s="15">
        <f>IF(B678=0,0,(B678-D678)/B678)</f>
        <v/>
      </c>
      <c r="F678" s="2">
        <f>E678&gt;='Deal Analyzer'!$B$12</f>
        <v/>
      </c>
      <c r="G678" s="12">
        <f>IF(AND(F678,RAND()&lt;$J$7),'Deal Analyzer'!$B$8-'Deal Analyzer'!$B$10,-('Deal Analyzer'!$B$10+'Deal Analyzer'!$B$9*'Deal Analyzer'!$B$14))</f>
        <v/>
      </c>
      <c r="H678" s="2" t="n"/>
      <c r="I678" s="2" t="n"/>
      <c r="J678" s="2" t="n"/>
      <c r="K678" s="2" t="n"/>
    </row>
    <row r="679">
      <c r="A679" s="2" t="n">
        <v>668</v>
      </c>
      <c r="B679" s="12">
        <f>MAX(0,'Deal Analyzer'!$B$4*(1+NORM.INV(RAND(),0,$J$4)))</f>
        <v/>
      </c>
      <c r="C679" s="12">
        <f>'Deal Analyzer'!$B$5*MAX(0.9,1+NORM.INV(RAND(),$J$5,$J$6))</f>
        <v/>
      </c>
      <c r="D679" s="12">
        <f>'Deal Analyzer'!$B$24+C679+B679*'Deal Analyzer'!$B$11</f>
        <v/>
      </c>
      <c r="E679" s="15">
        <f>IF(B679=0,0,(B679-D679)/B679)</f>
        <v/>
      </c>
      <c r="F679" s="2">
        <f>E679&gt;='Deal Analyzer'!$B$12</f>
        <v/>
      </c>
      <c r="G679" s="12">
        <f>IF(AND(F679,RAND()&lt;$J$7),'Deal Analyzer'!$B$8-'Deal Analyzer'!$B$10,-('Deal Analyzer'!$B$10+'Deal Analyzer'!$B$9*'Deal Analyzer'!$B$14))</f>
        <v/>
      </c>
      <c r="H679" s="2" t="n"/>
      <c r="I679" s="2" t="n"/>
      <c r="J679" s="2" t="n"/>
      <c r="K679" s="2" t="n"/>
    </row>
    <row r="680">
      <c r="A680" s="2" t="n">
        <v>669</v>
      </c>
      <c r="B680" s="12">
        <f>MAX(0,'Deal Analyzer'!$B$4*(1+NORM.INV(RAND(),0,$J$4)))</f>
        <v/>
      </c>
      <c r="C680" s="12">
        <f>'Deal Analyzer'!$B$5*MAX(0.9,1+NORM.INV(RAND(),$J$5,$J$6))</f>
        <v/>
      </c>
      <c r="D680" s="12">
        <f>'Deal Analyzer'!$B$24+C680+B680*'Deal Analyzer'!$B$11</f>
        <v/>
      </c>
      <c r="E680" s="15">
        <f>IF(B680=0,0,(B680-D680)/B680)</f>
        <v/>
      </c>
      <c r="F680" s="2">
        <f>E680&gt;='Deal Analyzer'!$B$12</f>
        <v/>
      </c>
      <c r="G680" s="12">
        <f>IF(AND(F680,RAND()&lt;$J$7),'Deal Analyzer'!$B$8-'Deal Analyzer'!$B$10,-('Deal Analyzer'!$B$10+'Deal Analyzer'!$B$9*'Deal Analyzer'!$B$14))</f>
        <v/>
      </c>
      <c r="H680" s="2" t="n"/>
      <c r="I680" s="2" t="n"/>
      <c r="J680" s="2" t="n"/>
      <c r="K680" s="2" t="n"/>
    </row>
    <row r="681">
      <c r="A681" s="2" t="n">
        <v>670</v>
      </c>
      <c r="B681" s="12">
        <f>MAX(0,'Deal Analyzer'!$B$4*(1+NORM.INV(RAND(),0,$J$4)))</f>
        <v/>
      </c>
      <c r="C681" s="12">
        <f>'Deal Analyzer'!$B$5*MAX(0.9,1+NORM.INV(RAND(),$J$5,$J$6))</f>
        <v/>
      </c>
      <c r="D681" s="12">
        <f>'Deal Analyzer'!$B$24+C681+B681*'Deal Analyzer'!$B$11</f>
        <v/>
      </c>
      <c r="E681" s="15">
        <f>IF(B681=0,0,(B681-D681)/B681)</f>
        <v/>
      </c>
      <c r="F681" s="2">
        <f>E681&gt;='Deal Analyzer'!$B$12</f>
        <v/>
      </c>
      <c r="G681" s="12">
        <f>IF(AND(F681,RAND()&lt;$J$7),'Deal Analyzer'!$B$8-'Deal Analyzer'!$B$10,-('Deal Analyzer'!$B$10+'Deal Analyzer'!$B$9*'Deal Analyzer'!$B$14))</f>
        <v/>
      </c>
      <c r="H681" s="2" t="n"/>
      <c r="I681" s="2" t="n"/>
      <c r="J681" s="2" t="n"/>
      <c r="K681" s="2" t="n"/>
    </row>
    <row r="682">
      <c r="A682" s="2" t="n">
        <v>671</v>
      </c>
      <c r="B682" s="12">
        <f>MAX(0,'Deal Analyzer'!$B$4*(1+NORM.INV(RAND(),0,$J$4)))</f>
        <v/>
      </c>
      <c r="C682" s="12">
        <f>'Deal Analyzer'!$B$5*MAX(0.9,1+NORM.INV(RAND(),$J$5,$J$6))</f>
        <v/>
      </c>
      <c r="D682" s="12">
        <f>'Deal Analyzer'!$B$24+C682+B682*'Deal Analyzer'!$B$11</f>
        <v/>
      </c>
      <c r="E682" s="15">
        <f>IF(B682=0,0,(B682-D682)/B682)</f>
        <v/>
      </c>
      <c r="F682" s="2">
        <f>E682&gt;='Deal Analyzer'!$B$12</f>
        <v/>
      </c>
      <c r="G682" s="12">
        <f>IF(AND(F682,RAND()&lt;$J$7),'Deal Analyzer'!$B$8-'Deal Analyzer'!$B$10,-('Deal Analyzer'!$B$10+'Deal Analyzer'!$B$9*'Deal Analyzer'!$B$14))</f>
        <v/>
      </c>
      <c r="H682" s="2" t="n"/>
      <c r="I682" s="2" t="n"/>
      <c r="J682" s="2" t="n"/>
      <c r="K682" s="2" t="n"/>
    </row>
    <row r="683">
      <c r="A683" s="2" t="n">
        <v>672</v>
      </c>
      <c r="B683" s="12">
        <f>MAX(0,'Deal Analyzer'!$B$4*(1+NORM.INV(RAND(),0,$J$4)))</f>
        <v/>
      </c>
      <c r="C683" s="12">
        <f>'Deal Analyzer'!$B$5*MAX(0.9,1+NORM.INV(RAND(),$J$5,$J$6))</f>
        <v/>
      </c>
      <c r="D683" s="12">
        <f>'Deal Analyzer'!$B$24+C683+B683*'Deal Analyzer'!$B$11</f>
        <v/>
      </c>
      <c r="E683" s="15">
        <f>IF(B683=0,0,(B683-D683)/B683)</f>
        <v/>
      </c>
      <c r="F683" s="2">
        <f>E683&gt;='Deal Analyzer'!$B$12</f>
        <v/>
      </c>
      <c r="G683" s="12">
        <f>IF(AND(F683,RAND()&lt;$J$7),'Deal Analyzer'!$B$8-'Deal Analyzer'!$B$10,-('Deal Analyzer'!$B$10+'Deal Analyzer'!$B$9*'Deal Analyzer'!$B$14))</f>
        <v/>
      </c>
      <c r="H683" s="2" t="n"/>
      <c r="I683" s="2" t="n"/>
      <c r="J683" s="2" t="n"/>
      <c r="K683" s="2" t="n"/>
    </row>
    <row r="684">
      <c r="A684" s="2" t="n">
        <v>673</v>
      </c>
      <c r="B684" s="12">
        <f>MAX(0,'Deal Analyzer'!$B$4*(1+NORM.INV(RAND(),0,$J$4)))</f>
        <v/>
      </c>
      <c r="C684" s="12">
        <f>'Deal Analyzer'!$B$5*MAX(0.9,1+NORM.INV(RAND(),$J$5,$J$6))</f>
        <v/>
      </c>
      <c r="D684" s="12">
        <f>'Deal Analyzer'!$B$24+C684+B684*'Deal Analyzer'!$B$11</f>
        <v/>
      </c>
      <c r="E684" s="15">
        <f>IF(B684=0,0,(B684-D684)/B684)</f>
        <v/>
      </c>
      <c r="F684" s="2">
        <f>E684&gt;='Deal Analyzer'!$B$12</f>
        <v/>
      </c>
      <c r="G684" s="12">
        <f>IF(AND(F684,RAND()&lt;$J$7),'Deal Analyzer'!$B$8-'Deal Analyzer'!$B$10,-('Deal Analyzer'!$B$10+'Deal Analyzer'!$B$9*'Deal Analyzer'!$B$14))</f>
        <v/>
      </c>
      <c r="H684" s="2" t="n"/>
      <c r="I684" s="2" t="n"/>
      <c r="J684" s="2" t="n"/>
      <c r="K684" s="2" t="n"/>
    </row>
    <row r="685">
      <c r="A685" s="2" t="n">
        <v>674</v>
      </c>
      <c r="B685" s="12">
        <f>MAX(0,'Deal Analyzer'!$B$4*(1+NORM.INV(RAND(),0,$J$4)))</f>
        <v/>
      </c>
      <c r="C685" s="12">
        <f>'Deal Analyzer'!$B$5*MAX(0.9,1+NORM.INV(RAND(),$J$5,$J$6))</f>
        <v/>
      </c>
      <c r="D685" s="12">
        <f>'Deal Analyzer'!$B$24+C685+B685*'Deal Analyzer'!$B$11</f>
        <v/>
      </c>
      <c r="E685" s="15">
        <f>IF(B685=0,0,(B685-D685)/B685)</f>
        <v/>
      </c>
      <c r="F685" s="2">
        <f>E685&gt;='Deal Analyzer'!$B$12</f>
        <v/>
      </c>
      <c r="G685" s="12">
        <f>IF(AND(F685,RAND()&lt;$J$7),'Deal Analyzer'!$B$8-'Deal Analyzer'!$B$10,-('Deal Analyzer'!$B$10+'Deal Analyzer'!$B$9*'Deal Analyzer'!$B$14))</f>
        <v/>
      </c>
      <c r="H685" s="2" t="n"/>
      <c r="I685" s="2" t="n"/>
      <c r="J685" s="2" t="n"/>
      <c r="K685" s="2" t="n"/>
    </row>
    <row r="686">
      <c r="A686" s="2" t="n">
        <v>675</v>
      </c>
      <c r="B686" s="12">
        <f>MAX(0,'Deal Analyzer'!$B$4*(1+NORM.INV(RAND(),0,$J$4)))</f>
        <v/>
      </c>
      <c r="C686" s="12">
        <f>'Deal Analyzer'!$B$5*MAX(0.9,1+NORM.INV(RAND(),$J$5,$J$6))</f>
        <v/>
      </c>
      <c r="D686" s="12">
        <f>'Deal Analyzer'!$B$24+C686+B686*'Deal Analyzer'!$B$11</f>
        <v/>
      </c>
      <c r="E686" s="15">
        <f>IF(B686=0,0,(B686-D686)/B686)</f>
        <v/>
      </c>
      <c r="F686" s="2">
        <f>E686&gt;='Deal Analyzer'!$B$12</f>
        <v/>
      </c>
      <c r="G686" s="12">
        <f>IF(AND(F686,RAND()&lt;$J$7),'Deal Analyzer'!$B$8-'Deal Analyzer'!$B$10,-('Deal Analyzer'!$B$10+'Deal Analyzer'!$B$9*'Deal Analyzer'!$B$14))</f>
        <v/>
      </c>
      <c r="H686" s="2" t="n"/>
      <c r="I686" s="2" t="n"/>
      <c r="J686" s="2" t="n"/>
      <c r="K686" s="2" t="n"/>
    </row>
    <row r="687">
      <c r="A687" s="2" t="n">
        <v>676</v>
      </c>
      <c r="B687" s="12">
        <f>MAX(0,'Deal Analyzer'!$B$4*(1+NORM.INV(RAND(),0,$J$4)))</f>
        <v/>
      </c>
      <c r="C687" s="12">
        <f>'Deal Analyzer'!$B$5*MAX(0.9,1+NORM.INV(RAND(),$J$5,$J$6))</f>
        <v/>
      </c>
      <c r="D687" s="12">
        <f>'Deal Analyzer'!$B$24+C687+B687*'Deal Analyzer'!$B$11</f>
        <v/>
      </c>
      <c r="E687" s="15">
        <f>IF(B687=0,0,(B687-D687)/B687)</f>
        <v/>
      </c>
      <c r="F687" s="2">
        <f>E687&gt;='Deal Analyzer'!$B$12</f>
        <v/>
      </c>
      <c r="G687" s="12">
        <f>IF(AND(F687,RAND()&lt;$J$7),'Deal Analyzer'!$B$8-'Deal Analyzer'!$B$10,-('Deal Analyzer'!$B$10+'Deal Analyzer'!$B$9*'Deal Analyzer'!$B$14))</f>
        <v/>
      </c>
      <c r="H687" s="2" t="n"/>
      <c r="I687" s="2" t="n"/>
      <c r="J687" s="2" t="n"/>
      <c r="K687" s="2" t="n"/>
    </row>
    <row r="688">
      <c r="A688" s="2" t="n">
        <v>677</v>
      </c>
      <c r="B688" s="12">
        <f>MAX(0,'Deal Analyzer'!$B$4*(1+NORM.INV(RAND(),0,$J$4)))</f>
        <v/>
      </c>
      <c r="C688" s="12">
        <f>'Deal Analyzer'!$B$5*MAX(0.9,1+NORM.INV(RAND(),$J$5,$J$6))</f>
        <v/>
      </c>
      <c r="D688" s="12">
        <f>'Deal Analyzer'!$B$24+C688+B688*'Deal Analyzer'!$B$11</f>
        <v/>
      </c>
      <c r="E688" s="15">
        <f>IF(B688=0,0,(B688-D688)/B688)</f>
        <v/>
      </c>
      <c r="F688" s="2">
        <f>E688&gt;='Deal Analyzer'!$B$12</f>
        <v/>
      </c>
      <c r="G688" s="12">
        <f>IF(AND(F688,RAND()&lt;$J$7),'Deal Analyzer'!$B$8-'Deal Analyzer'!$B$10,-('Deal Analyzer'!$B$10+'Deal Analyzer'!$B$9*'Deal Analyzer'!$B$14))</f>
        <v/>
      </c>
      <c r="H688" s="2" t="n"/>
      <c r="I688" s="2" t="n"/>
      <c r="J688" s="2" t="n"/>
      <c r="K688" s="2" t="n"/>
    </row>
    <row r="689">
      <c r="A689" s="2" t="n">
        <v>678</v>
      </c>
      <c r="B689" s="12">
        <f>MAX(0,'Deal Analyzer'!$B$4*(1+NORM.INV(RAND(),0,$J$4)))</f>
        <v/>
      </c>
      <c r="C689" s="12">
        <f>'Deal Analyzer'!$B$5*MAX(0.9,1+NORM.INV(RAND(),$J$5,$J$6))</f>
        <v/>
      </c>
      <c r="D689" s="12">
        <f>'Deal Analyzer'!$B$24+C689+B689*'Deal Analyzer'!$B$11</f>
        <v/>
      </c>
      <c r="E689" s="15">
        <f>IF(B689=0,0,(B689-D689)/B689)</f>
        <v/>
      </c>
      <c r="F689" s="2">
        <f>E689&gt;='Deal Analyzer'!$B$12</f>
        <v/>
      </c>
      <c r="G689" s="12">
        <f>IF(AND(F689,RAND()&lt;$J$7),'Deal Analyzer'!$B$8-'Deal Analyzer'!$B$10,-('Deal Analyzer'!$B$10+'Deal Analyzer'!$B$9*'Deal Analyzer'!$B$14))</f>
        <v/>
      </c>
      <c r="H689" s="2" t="n"/>
      <c r="I689" s="2" t="n"/>
      <c r="J689" s="2" t="n"/>
      <c r="K689" s="2" t="n"/>
    </row>
    <row r="690">
      <c r="A690" s="2" t="n">
        <v>679</v>
      </c>
      <c r="B690" s="12">
        <f>MAX(0,'Deal Analyzer'!$B$4*(1+NORM.INV(RAND(),0,$J$4)))</f>
        <v/>
      </c>
      <c r="C690" s="12">
        <f>'Deal Analyzer'!$B$5*MAX(0.9,1+NORM.INV(RAND(),$J$5,$J$6))</f>
        <v/>
      </c>
      <c r="D690" s="12">
        <f>'Deal Analyzer'!$B$24+C690+B690*'Deal Analyzer'!$B$11</f>
        <v/>
      </c>
      <c r="E690" s="15">
        <f>IF(B690=0,0,(B690-D690)/B690)</f>
        <v/>
      </c>
      <c r="F690" s="2">
        <f>E690&gt;='Deal Analyzer'!$B$12</f>
        <v/>
      </c>
      <c r="G690" s="12">
        <f>IF(AND(F690,RAND()&lt;$J$7),'Deal Analyzer'!$B$8-'Deal Analyzer'!$B$10,-('Deal Analyzer'!$B$10+'Deal Analyzer'!$B$9*'Deal Analyzer'!$B$14))</f>
        <v/>
      </c>
      <c r="H690" s="2" t="n"/>
      <c r="I690" s="2" t="n"/>
      <c r="J690" s="2" t="n"/>
      <c r="K690" s="2" t="n"/>
    </row>
    <row r="691">
      <c r="A691" s="2" t="n">
        <v>680</v>
      </c>
      <c r="B691" s="12">
        <f>MAX(0,'Deal Analyzer'!$B$4*(1+NORM.INV(RAND(),0,$J$4)))</f>
        <v/>
      </c>
      <c r="C691" s="12">
        <f>'Deal Analyzer'!$B$5*MAX(0.9,1+NORM.INV(RAND(),$J$5,$J$6))</f>
        <v/>
      </c>
      <c r="D691" s="12">
        <f>'Deal Analyzer'!$B$24+C691+B691*'Deal Analyzer'!$B$11</f>
        <v/>
      </c>
      <c r="E691" s="15">
        <f>IF(B691=0,0,(B691-D691)/B691)</f>
        <v/>
      </c>
      <c r="F691" s="2">
        <f>E691&gt;='Deal Analyzer'!$B$12</f>
        <v/>
      </c>
      <c r="G691" s="12">
        <f>IF(AND(F691,RAND()&lt;$J$7),'Deal Analyzer'!$B$8-'Deal Analyzer'!$B$10,-('Deal Analyzer'!$B$10+'Deal Analyzer'!$B$9*'Deal Analyzer'!$B$14))</f>
        <v/>
      </c>
      <c r="H691" s="2" t="n"/>
      <c r="I691" s="2" t="n"/>
      <c r="J691" s="2" t="n"/>
      <c r="K691" s="2" t="n"/>
    </row>
    <row r="692">
      <c r="A692" s="2" t="n">
        <v>681</v>
      </c>
      <c r="B692" s="12">
        <f>MAX(0,'Deal Analyzer'!$B$4*(1+NORM.INV(RAND(),0,$J$4)))</f>
        <v/>
      </c>
      <c r="C692" s="12">
        <f>'Deal Analyzer'!$B$5*MAX(0.9,1+NORM.INV(RAND(),$J$5,$J$6))</f>
        <v/>
      </c>
      <c r="D692" s="12">
        <f>'Deal Analyzer'!$B$24+C692+B692*'Deal Analyzer'!$B$11</f>
        <v/>
      </c>
      <c r="E692" s="15">
        <f>IF(B692=0,0,(B692-D692)/B692)</f>
        <v/>
      </c>
      <c r="F692" s="2">
        <f>E692&gt;='Deal Analyzer'!$B$12</f>
        <v/>
      </c>
      <c r="G692" s="12">
        <f>IF(AND(F692,RAND()&lt;$J$7),'Deal Analyzer'!$B$8-'Deal Analyzer'!$B$10,-('Deal Analyzer'!$B$10+'Deal Analyzer'!$B$9*'Deal Analyzer'!$B$14))</f>
        <v/>
      </c>
      <c r="H692" s="2" t="n"/>
      <c r="I692" s="2" t="n"/>
      <c r="J692" s="2" t="n"/>
      <c r="K692" s="2" t="n"/>
    </row>
    <row r="693">
      <c r="A693" s="2" t="n">
        <v>682</v>
      </c>
      <c r="B693" s="12">
        <f>MAX(0,'Deal Analyzer'!$B$4*(1+NORM.INV(RAND(),0,$J$4)))</f>
        <v/>
      </c>
      <c r="C693" s="12">
        <f>'Deal Analyzer'!$B$5*MAX(0.9,1+NORM.INV(RAND(),$J$5,$J$6))</f>
        <v/>
      </c>
      <c r="D693" s="12">
        <f>'Deal Analyzer'!$B$24+C693+B693*'Deal Analyzer'!$B$11</f>
        <v/>
      </c>
      <c r="E693" s="15">
        <f>IF(B693=0,0,(B693-D693)/B693)</f>
        <v/>
      </c>
      <c r="F693" s="2">
        <f>E693&gt;='Deal Analyzer'!$B$12</f>
        <v/>
      </c>
      <c r="G693" s="12">
        <f>IF(AND(F693,RAND()&lt;$J$7),'Deal Analyzer'!$B$8-'Deal Analyzer'!$B$10,-('Deal Analyzer'!$B$10+'Deal Analyzer'!$B$9*'Deal Analyzer'!$B$14))</f>
        <v/>
      </c>
      <c r="H693" s="2" t="n"/>
      <c r="I693" s="2" t="n"/>
      <c r="J693" s="2" t="n"/>
      <c r="K693" s="2" t="n"/>
    </row>
    <row r="694">
      <c r="A694" s="2" t="n">
        <v>683</v>
      </c>
      <c r="B694" s="12">
        <f>MAX(0,'Deal Analyzer'!$B$4*(1+NORM.INV(RAND(),0,$J$4)))</f>
        <v/>
      </c>
      <c r="C694" s="12">
        <f>'Deal Analyzer'!$B$5*MAX(0.9,1+NORM.INV(RAND(),$J$5,$J$6))</f>
        <v/>
      </c>
      <c r="D694" s="12">
        <f>'Deal Analyzer'!$B$24+C694+B694*'Deal Analyzer'!$B$11</f>
        <v/>
      </c>
      <c r="E694" s="15">
        <f>IF(B694=0,0,(B694-D694)/B694)</f>
        <v/>
      </c>
      <c r="F694" s="2">
        <f>E694&gt;='Deal Analyzer'!$B$12</f>
        <v/>
      </c>
      <c r="G694" s="12">
        <f>IF(AND(F694,RAND()&lt;$J$7),'Deal Analyzer'!$B$8-'Deal Analyzer'!$B$10,-('Deal Analyzer'!$B$10+'Deal Analyzer'!$B$9*'Deal Analyzer'!$B$14))</f>
        <v/>
      </c>
      <c r="H694" s="2" t="n"/>
      <c r="I694" s="2" t="n"/>
      <c r="J694" s="2" t="n"/>
      <c r="K694" s="2" t="n"/>
    </row>
    <row r="695">
      <c r="A695" s="2" t="n">
        <v>684</v>
      </c>
      <c r="B695" s="12">
        <f>MAX(0,'Deal Analyzer'!$B$4*(1+NORM.INV(RAND(),0,$J$4)))</f>
        <v/>
      </c>
      <c r="C695" s="12">
        <f>'Deal Analyzer'!$B$5*MAX(0.9,1+NORM.INV(RAND(),$J$5,$J$6))</f>
        <v/>
      </c>
      <c r="D695" s="12">
        <f>'Deal Analyzer'!$B$24+C695+B695*'Deal Analyzer'!$B$11</f>
        <v/>
      </c>
      <c r="E695" s="15">
        <f>IF(B695=0,0,(B695-D695)/B695)</f>
        <v/>
      </c>
      <c r="F695" s="2">
        <f>E695&gt;='Deal Analyzer'!$B$12</f>
        <v/>
      </c>
      <c r="G695" s="12">
        <f>IF(AND(F695,RAND()&lt;$J$7),'Deal Analyzer'!$B$8-'Deal Analyzer'!$B$10,-('Deal Analyzer'!$B$10+'Deal Analyzer'!$B$9*'Deal Analyzer'!$B$14))</f>
        <v/>
      </c>
      <c r="H695" s="2" t="n"/>
      <c r="I695" s="2" t="n"/>
      <c r="J695" s="2" t="n"/>
      <c r="K695" s="2" t="n"/>
    </row>
    <row r="696">
      <c r="A696" s="2" t="n">
        <v>685</v>
      </c>
      <c r="B696" s="12">
        <f>MAX(0,'Deal Analyzer'!$B$4*(1+NORM.INV(RAND(),0,$J$4)))</f>
        <v/>
      </c>
      <c r="C696" s="12">
        <f>'Deal Analyzer'!$B$5*MAX(0.9,1+NORM.INV(RAND(),$J$5,$J$6))</f>
        <v/>
      </c>
      <c r="D696" s="12">
        <f>'Deal Analyzer'!$B$24+C696+B696*'Deal Analyzer'!$B$11</f>
        <v/>
      </c>
      <c r="E696" s="15">
        <f>IF(B696=0,0,(B696-D696)/B696)</f>
        <v/>
      </c>
      <c r="F696" s="2">
        <f>E696&gt;='Deal Analyzer'!$B$12</f>
        <v/>
      </c>
      <c r="G696" s="12">
        <f>IF(AND(F696,RAND()&lt;$J$7),'Deal Analyzer'!$B$8-'Deal Analyzer'!$B$10,-('Deal Analyzer'!$B$10+'Deal Analyzer'!$B$9*'Deal Analyzer'!$B$14))</f>
        <v/>
      </c>
      <c r="H696" s="2" t="n"/>
      <c r="I696" s="2" t="n"/>
      <c r="J696" s="2" t="n"/>
      <c r="K696" s="2" t="n"/>
    </row>
    <row r="697">
      <c r="A697" s="2" t="n">
        <v>686</v>
      </c>
      <c r="B697" s="12">
        <f>MAX(0,'Deal Analyzer'!$B$4*(1+NORM.INV(RAND(),0,$J$4)))</f>
        <v/>
      </c>
      <c r="C697" s="12">
        <f>'Deal Analyzer'!$B$5*MAX(0.9,1+NORM.INV(RAND(),$J$5,$J$6))</f>
        <v/>
      </c>
      <c r="D697" s="12">
        <f>'Deal Analyzer'!$B$24+C697+B697*'Deal Analyzer'!$B$11</f>
        <v/>
      </c>
      <c r="E697" s="15">
        <f>IF(B697=0,0,(B697-D697)/B697)</f>
        <v/>
      </c>
      <c r="F697" s="2">
        <f>E697&gt;='Deal Analyzer'!$B$12</f>
        <v/>
      </c>
      <c r="G697" s="12">
        <f>IF(AND(F697,RAND()&lt;$J$7),'Deal Analyzer'!$B$8-'Deal Analyzer'!$B$10,-('Deal Analyzer'!$B$10+'Deal Analyzer'!$B$9*'Deal Analyzer'!$B$14))</f>
        <v/>
      </c>
      <c r="H697" s="2" t="n"/>
      <c r="I697" s="2" t="n"/>
      <c r="J697" s="2" t="n"/>
      <c r="K697" s="2" t="n"/>
    </row>
    <row r="698">
      <c r="A698" s="2" t="n">
        <v>687</v>
      </c>
      <c r="B698" s="12">
        <f>MAX(0,'Deal Analyzer'!$B$4*(1+NORM.INV(RAND(),0,$J$4)))</f>
        <v/>
      </c>
      <c r="C698" s="12">
        <f>'Deal Analyzer'!$B$5*MAX(0.9,1+NORM.INV(RAND(),$J$5,$J$6))</f>
        <v/>
      </c>
      <c r="D698" s="12">
        <f>'Deal Analyzer'!$B$24+C698+B698*'Deal Analyzer'!$B$11</f>
        <v/>
      </c>
      <c r="E698" s="15">
        <f>IF(B698=0,0,(B698-D698)/B698)</f>
        <v/>
      </c>
      <c r="F698" s="2">
        <f>E698&gt;='Deal Analyzer'!$B$12</f>
        <v/>
      </c>
      <c r="G698" s="12">
        <f>IF(AND(F698,RAND()&lt;$J$7),'Deal Analyzer'!$B$8-'Deal Analyzer'!$B$10,-('Deal Analyzer'!$B$10+'Deal Analyzer'!$B$9*'Deal Analyzer'!$B$14))</f>
        <v/>
      </c>
      <c r="H698" s="2" t="n"/>
      <c r="I698" s="2" t="n"/>
      <c r="J698" s="2" t="n"/>
      <c r="K698" s="2" t="n"/>
    </row>
    <row r="699">
      <c r="A699" s="2" t="n">
        <v>688</v>
      </c>
      <c r="B699" s="12">
        <f>MAX(0,'Deal Analyzer'!$B$4*(1+NORM.INV(RAND(),0,$J$4)))</f>
        <v/>
      </c>
      <c r="C699" s="12">
        <f>'Deal Analyzer'!$B$5*MAX(0.9,1+NORM.INV(RAND(),$J$5,$J$6))</f>
        <v/>
      </c>
      <c r="D699" s="12">
        <f>'Deal Analyzer'!$B$24+C699+B699*'Deal Analyzer'!$B$11</f>
        <v/>
      </c>
      <c r="E699" s="15">
        <f>IF(B699=0,0,(B699-D699)/B699)</f>
        <v/>
      </c>
      <c r="F699" s="2">
        <f>E699&gt;='Deal Analyzer'!$B$12</f>
        <v/>
      </c>
      <c r="G699" s="12">
        <f>IF(AND(F699,RAND()&lt;$J$7),'Deal Analyzer'!$B$8-'Deal Analyzer'!$B$10,-('Deal Analyzer'!$B$10+'Deal Analyzer'!$B$9*'Deal Analyzer'!$B$14))</f>
        <v/>
      </c>
      <c r="H699" s="2" t="n"/>
      <c r="I699" s="2" t="n"/>
      <c r="J699" s="2" t="n"/>
      <c r="K699" s="2" t="n"/>
    </row>
    <row r="700">
      <c r="A700" s="2" t="n">
        <v>689</v>
      </c>
      <c r="B700" s="12">
        <f>MAX(0,'Deal Analyzer'!$B$4*(1+NORM.INV(RAND(),0,$J$4)))</f>
        <v/>
      </c>
      <c r="C700" s="12">
        <f>'Deal Analyzer'!$B$5*MAX(0.9,1+NORM.INV(RAND(),$J$5,$J$6))</f>
        <v/>
      </c>
      <c r="D700" s="12">
        <f>'Deal Analyzer'!$B$24+C700+B700*'Deal Analyzer'!$B$11</f>
        <v/>
      </c>
      <c r="E700" s="15">
        <f>IF(B700=0,0,(B700-D700)/B700)</f>
        <v/>
      </c>
      <c r="F700" s="2">
        <f>E700&gt;='Deal Analyzer'!$B$12</f>
        <v/>
      </c>
      <c r="G700" s="12">
        <f>IF(AND(F700,RAND()&lt;$J$7),'Deal Analyzer'!$B$8-'Deal Analyzer'!$B$10,-('Deal Analyzer'!$B$10+'Deal Analyzer'!$B$9*'Deal Analyzer'!$B$14))</f>
        <v/>
      </c>
      <c r="H700" s="2" t="n"/>
      <c r="I700" s="2" t="n"/>
      <c r="J700" s="2" t="n"/>
      <c r="K700" s="2" t="n"/>
    </row>
    <row r="701">
      <c r="A701" s="2" t="n">
        <v>690</v>
      </c>
      <c r="B701" s="12">
        <f>MAX(0,'Deal Analyzer'!$B$4*(1+NORM.INV(RAND(),0,$J$4)))</f>
        <v/>
      </c>
      <c r="C701" s="12">
        <f>'Deal Analyzer'!$B$5*MAX(0.9,1+NORM.INV(RAND(),$J$5,$J$6))</f>
        <v/>
      </c>
      <c r="D701" s="12">
        <f>'Deal Analyzer'!$B$24+C701+B701*'Deal Analyzer'!$B$11</f>
        <v/>
      </c>
      <c r="E701" s="15">
        <f>IF(B701=0,0,(B701-D701)/B701)</f>
        <v/>
      </c>
      <c r="F701" s="2">
        <f>E701&gt;='Deal Analyzer'!$B$12</f>
        <v/>
      </c>
      <c r="G701" s="12">
        <f>IF(AND(F701,RAND()&lt;$J$7),'Deal Analyzer'!$B$8-'Deal Analyzer'!$B$10,-('Deal Analyzer'!$B$10+'Deal Analyzer'!$B$9*'Deal Analyzer'!$B$14))</f>
        <v/>
      </c>
      <c r="H701" s="2" t="n"/>
      <c r="I701" s="2" t="n"/>
      <c r="J701" s="2" t="n"/>
      <c r="K701" s="2" t="n"/>
    </row>
    <row r="702">
      <c r="A702" s="2" t="n">
        <v>691</v>
      </c>
      <c r="B702" s="12">
        <f>MAX(0,'Deal Analyzer'!$B$4*(1+NORM.INV(RAND(),0,$J$4)))</f>
        <v/>
      </c>
      <c r="C702" s="12">
        <f>'Deal Analyzer'!$B$5*MAX(0.9,1+NORM.INV(RAND(),$J$5,$J$6))</f>
        <v/>
      </c>
      <c r="D702" s="12">
        <f>'Deal Analyzer'!$B$24+C702+B702*'Deal Analyzer'!$B$11</f>
        <v/>
      </c>
      <c r="E702" s="15">
        <f>IF(B702=0,0,(B702-D702)/B702)</f>
        <v/>
      </c>
      <c r="F702" s="2">
        <f>E702&gt;='Deal Analyzer'!$B$12</f>
        <v/>
      </c>
      <c r="G702" s="12">
        <f>IF(AND(F702,RAND()&lt;$J$7),'Deal Analyzer'!$B$8-'Deal Analyzer'!$B$10,-('Deal Analyzer'!$B$10+'Deal Analyzer'!$B$9*'Deal Analyzer'!$B$14))</f>
        <v/>
      </c>
      <c r="H702" s="2" t="n"/>
      <c r="I702" s="2" t="n"/>
      <c r="J702" s="2" t="n"/>
      <c r="K702" s="2" t="n"/>
    </row>
    <row r="703">
      <c r="A703" s="2" t="n">
        <v>692</v>
      </c>
      <c r="B703" s="12">
        <f>MAX(0,'Deal Analyzer'!$B$4*(1+NORM.INV(RAND(),0,$J$4)))</f>
        <v/>
      </c>
      <c r="C703" s="12">
        <f>'Deal Analyzer'!$B$5*MAX(0.9,1+NORM.INV(RAND(),$J$5,$J$6))</f>
        <v/>
      </c>
      <c r="D703" s="12">
        <f>'Deal Analyzer'!$B$24+C703+B703*'Deal Analyzer'!$B$11</f>
        <v/>
      </c>
      <c r="E703" s="15">
        <f>IF(B703=0,0,(B703-D703)/B703)</f>
        <v/>
      </c>
      <c r="F703" s="2">
        <f>E703&gt;='Deal Analyzer'!$B$12</f>
        <v/>
      </c>
      <c r="G703" s="12">
        <f>IF(AND(F703,RAND()&lt;$J$7),'Deal Analyzer'!$B$8-'Deal Analyzer'!$B$10,-('Deal Analyzer'!$B$10+'Deal Analyzer'!$B$9*'Deal Analyzer'!$B$14))</f>
        <v/>
      </c>
      <c r="H703" s="2" t="n"/>
      <c r="I703" s="2" t="n"/>
      <c r="J703" s="2" t="n"/>
      <c r="K703" s="2" t="n"/>
    </row>
    <row r="704">
      <c r="A704" s="2" t="n">
        <v>693</v>
      </c>
      <c r="B704" s="12">
        <f>MAX(0,'Deal Analyzer'!$B$4*(1+NORM.INV(RAND(),0,$J$4)))</f>
        <v/>
      </c>
      <c r="C704" s="12">
        <f>'Deal Analyzer'!$B$5*MAX(0.9,1+NORM.INV(RAND(),$J$5,$J$6))</f>
        <v/>
      </c>
      <c r="D704" s="12">
        <f>'Deal Analyzer'!$B$24+C704+B704*'Deal Analyzer'!$B$11</f>
        <v/>
      </c>
      <c r="E704" s="15">
        <f>IF(B704=0,0,(B704-D704)/B704)</f>
        <v/>
      </c>
      <c r="F704" s="2">
        <f>E704&gt;='Deal Analyzer'!$B$12</f>
        <v/>
      </c>
      <c r="G704" s="12">
        <f>IF(AND(F704,RAND()&lt;$J$7),'Deal Analyzer'!$B$8-'Deal Analyzer'!$B$10,-('Deal Analyzer'!$B$10+'Deal Analyzer'!$B$9*'Deal Analyzer'!$B$14))</f>
        <v/>
      </c>
      <c r="H704" s="2" t="n"/>
      <c r="I704" s="2" t="n"/>
      <c r="J704" s="2" t="n"/>
      <c r="K704" s="2" t="n"/>
    </row>
    <row r="705">
      <c r="A705" s="2" t="n">
        <v>694</v>
      </c>
      <c r="B705" s="12">
        <f>MAX(0,'Deal Analyzer'!$B$4*(1+NORM.INV(RAND(),0,$J$4)))</f>
        <v/>
      </c>
      <c r="C705" s="12">
        <f>'Deal Analyzer'!$B$5*MAX(0.9,1+NORM.INV(RAND(),$J$5,$J$6))</f>
        <v/>
      </c>
      <c r="D705" s="12">
        <f>'Deal Analyzer'!$B$24+C705+B705*'Deal Analyzer'!$B$11</f>
        <v/>
      </c>
      <c r="E705" s="15">
        <f>IF(B705=0,0,(B705-D705)/B705)</f>
        <v/>
      </c>
      <c r="F705" s="2">
        <f>E705&gt;='Deal Analyzer'!$B$12</f>
        <v/>
      </c>
      <c r="G705" s="12">
        <f>IF(AND(F705,RAND()&lt;$J$7),'Deal Analyzer'!$B$8-'Deal Analyzer'!$B$10,-('Deal Analyzer'!$B$10+'Deal Analyzer'!$B$9*'Deal Analyzer'!$B$14))</f>
        <v/>
      </c>
      <c r="H705" s="2" t="n"/>
      <c r="I705" s="2" t="n"/>
      <c r="J705" s="2" t="n"/>
      <c r="K705" s="2" t="n"/>
    </row>
    <row r="706">
      <c r="A706" s="2" t="n">
        <v>695</v>
      </c>
      <c r="B706" s="12">
        <f>MAX(0,'Deal Analyzer'!$B$4*(1+NORM.INV(RAND(),0,$J$4)))</f>
        <v/>
      </c>
      <c r="C706" s="12">
        <f>'Deal Analyzer'!$B$5*MAX(0.9,1+NORM.INV(RAND(),$J$5,$J$6))</f>
        <v/>
      </c>
      <c r="D706" s="12">
        <f>'Deal Analyzer'!$B$24+C706+B706*'Deal Analyzer'!$B$11</f>
        <v/>
      </c>
      <c r="E706" s="15">
        <f>IF(B706=0,0,(B706-D706)/B706)</f>
        <v/>
      </c>
      <c r="F706" s="2">
        <f>E706&gt;='Deal Analyzer'!$B$12</f>
        <v/>
      </c>
      <c r="G706" s="12">
        <f>IF(AND(F706,RAND()&lt;$J$7),'Deal Analyzer'!$B$8-'Deal Analyzer'!$B$10,-('Deal Analyzer'!$B$10+'Deal Analyzer'!$B$9*'Deal Analyzer'!$B$14))</f>
        <v/>
      </c>
      <c r="H706" s="2" t="n"/>
      <c r="I706" s="2" t="n"/>
      <c r="J706" s="2" t="n"/>
      <c r="K706" s="2" t="n"/>
    </row>
    <row r="707">
      <c r="A707" s="2" t="n">
        <v>696</v>
      </c>
      <c r="B707" s="12">
        <f>MAX(0,'Deal Analyzer'!$B$4*(1+NORM.INV(RAND(),0,$J$4)))</f>
        <v/>
      </c>
      <c r="C707" s="12">
        <f>'Deal Analyzer'!$B$5*MAX(0.9,1+NORM.INV(RAND(),$J$5,$J$6))</f>
        <v/>
      </c>
      <c r="D707" s="12">
        <f>'Deal Analyzer'!$B$24+C707+B707*'Deal Analyzer'!$B$11</f>
        <v/>
      </c>
      <c r="E707" s="15">
        <f>IF(B707=0,0,(B707-D707)/B707)</f>
        <v/>
      </c>
      <c r="F707" s="2">
        <f>E707&gt;='Deal Analyzer'!$B$12</f>
        <v/>
      </c>
      <c r="G707" s="12">
        <f>IF(AND(F707,RAND()&lt;$J$7),'Deal Analyzer'!$B$8-'Deal Analyzer'!$B$10,-('Deal Analyzer'!$B$10+'Deal Analyzer'!$B$9*'Deal Analyzer'!$B$14))</f>
        <v/>
      </c>
      <c r="H707" s="2" t="n"/>
      <c r="I707" s="2" t="n"/>
      <c r="J707" s="2" t="n"/>
      <c r="K707" s="2" t="n"/>
    </row>
    <row r="708">
      <c r="A708" s="2" t="n">
        <v>697</v>
      </c>
      <c r="B708" s="12">
        <f>MAX(0,'Deal Analyzer'!$B$4*(1+NORM.INV(RAND(),0,$J$4)))</f>
        <v/>
      </c>
      <c r="C708" s="12">
        <f>'Deal Analyzer'!$B$5*MAX(0.9,1+NORM.INV(RAND(),$J$5,$J$6))</f>
        <v/>
      </c>
      <c r="D708" s="12">
        <f>'Deal Analyzer'!$B$24+C708+B708*'Deal Analyzer'!$B$11</f>
        <v/>
      </c>
      <c r="E708" s="15">
        <f>IF(B708=0,0,(B708-D708)/B708)</f>
        <v/>
      </c>
      <c r="F708" s="2">
        <f>E708&gt;='Deal Analyzer'!$B$12</f>
        <v/>
      </c>
      <c r="G708" s="12">
        <f>IF(AND(F708,RAND()&lt;$J$7),'Deal Analyzer'!$B$8-'Deal Analyzer'!$B$10,-('Deal Analyzer'!$B$10+'Deal Analyzer'!$B$9*'Deal Analyzer'!$B$14))</f>
        <v/>
      </c>
      <c r="H708" s="2" t="n"/>
      <c r="I708" s="2" t="n"/>
      <c r="J708" s="2" t="n"/>
      <c r="K708" s="2" t="n"/>
    </row>
    <row r="709">
      <c r="A709" s="2" t="n">
        <v>698</v>
      </c>
      <c r="B709" s="12">
        <f>MAX(0,'Deal Analyzer'!$B$4*(1+NORM.INV(RAND(),0,$J$4)))</f>
        <v/>
      </c>
      <c r="C709" s="12">
        <f>'Deal Analyzer'!$B$5*MAX(0.9,1+NORM.INV(RAND(),$J$5,$J$6))</f>
        <v/>
      </c>
      <c r="D709" s="12">
        <f>'Deal Analyzer'!$B$24+C709+B709*'Deal Analyzer'!$B$11</f>
        <v/>
      </c>
      <c r="E709" s="15">
        <f>IF(B709=0,0,(B709-D709)/B709)</f>
        <v/>
      </c>
      <c r="F709" s="2">
        <f>E709&gt;='Deal Analyzer'!$B$12</f>
        <v/>
      </c>
      <c r="G709" s="12">
        <f>IF(AND(F709,RAND()&lt;$J$7),'Deal Analyzer'!$B$8-'Deal Analyzer'!$B$10,-('Deal Analyzer'!$B$10+'Deal Analyzer'!$B$9*'Deal Analyzer'!$B$14))</f>
        <v/>
      </c>
      <c r="H709" s="2" t="n"/>
      <c r="I709" s="2" t="n"/>
      <c r="J709" s="2" t="n"/>
      <c r="K709" s="2" t="n"/>
    </row>
    <row r="710">
      <c r="A710" s="2" t="n">
        <v>699</v>
      </c>
      <c r="B710" s="12">
        <f>MAX(0,'Deal Analyzer'!$B$4*(1+NORM.INV(RAND(),0,$J$4)))</f>
        <v/>
      </c>
      <c r="C710" s="12">
        <f>'Deal Analyzer'!$B$5*MAX(0.9,1+NORM.INV(RAND(),$J$5,$J$6))</f>
        <v/>
      </c>
      <c r="D710" s="12">
        <f>'Deal Analyzer'!$B$24+C710+B710*'Deal Analyzer'!$B$11</f>
        <v/>
      </c>
      <c r="E710" s="15">
        <f>IF(B710=0,0,(B710-D710)/B710)</f>
        <v/>
      </c>
      <c r="F710" s="2">
        <f>E710&gt;='Deal Analyzer'!$B$12</f>
        <v/>
      </c>
      <c r="G710" s="12">
        <f>IF(AND(F710,RAND()&lt;$J$7),'Deal Analyzer'!$B$8-'Deal Analyzer'!$B$10,-('Deal Analyzer'!$B$10+'Deal Analyzer'!$B$9*'Deal Analyzer'!$B$14))</f>
        <v/>
      </c>
      <c r="H710" s="2" t="n"/>
      <c r="I710" s="2" t="n"/>
      <c r="J710" s="2" t="n"/>
      <c r="K710" s="2" t="n"/>
    </row>
    <row r="711">
      <c r="A711" s="2" t="n">
        <v>700</v>
      </c>
      <c r="B711" s="12">
        <f>MAX(0,'Deal Analyzer'!$B$4*(1+NORM.INV(RAND(),0,$J$4)))</f>
        <v/>
      </c>
      <c r="C711" s="12">
        <f>'Deal Analyzer'!$B$5*MAX(0.9,1+NORM.INV(RAND(),$J$5,$J$6))</f>
        <v/>
      </c>
      <c r="D711" s="12">
        <f>'Deal Analyzer'!$B$24+C711+B711*'Deal Analyzer'!$B$11</f>
        <v/>
      </c>
      <c r="E711" s="15">
        <f>IF(B711=0,0,(B711-D711)/B711)</f>
        <v/>
      </c>
      <c r="F711" s="2">
        <f>E711&gt;='Deal Analyzer'!$B$12</f>
        <v/>
      </c>
      <c r="G711" s="12">
        <f>IF(AND(F711,RAND()&lt;$J$7),'Deal Analyzer'!$B$8-'Deal Analyzer'!$B$10,-('Deal Analyzer'!$B$10+'Deal Analyzer'!$B$9*'Deal Analyzer'!$B$14))</f>
        <v/>
      </c>
      <c r="H711" s="2" t="n"/>
      <c r="I711" s="2" t="n"/>
      <c r="J711" s="2" t="n"/>
      <c r="K711" s="2" t="n"/>
    </row>
    <row r="712">
      <c r="A712" s="2" t="n">
        <v>701</v>
      </c>
      <c r="B712" s="12">
        <f>MAX(0,'Deal Analyzer'!$B$4*(1+NORM.INV(RAND(),0,$J$4)))</f>
        <v/>
      </c>
      <c r="C712" s="12">
        <f>'Deal Analyzer'!$B$5*MAX(0.9,1+NORM.INV(RAND(),$J$5,$J$6))</f>
        <v/>
      </c>
      <c r="D712" s="12">
        <f>'Deal Analyzer'!$B$24+C712+B712*'Deal Analyzer'!$B$11</f>
        <v/>
      </c>
      <c r="E712" s="15">
        <f>IF(B712=0,0,(B712-D712)/B712)</f>
        <v/>
      </c>
      <c r="F712" s="2">
        <f>E712&gt;='Deal Analyzer'!$B$12</f>
        <v/>
      </c>
      <c r="G712" s="12">
        <f>IF(AND(F712,RAND()&lt;$J$7),'Deal Analyzer'!$B$8-'Deal Analyzer'!$B$10,-('Deal Analyzer'!$B$10+'Deal Analyzer'!$B$9*'Deal Analyzer'!$B$14))</f>
        <v/>
      </c>
      <c r="H712" s="2" t="n"/>
      <c r="I712" s="2" t="n"/>
      <c r="J712" s="2" t="n"/>
      <c r="K712" s="2" t="n"/>
    </row>
    <row r="713">
      <c r="A713" s="2" t="n">
        <v>702</v>
      </c>
      <c r="B713" s="12">
        <f>MAX(0,'Deal Analyzer'!$B$4*(1+NORM.INV(RAND(),0,$J$4)))</f>
        <v/>
      </c>
      <c r="C713" s="12">
        <f>'Deal Analyzer'!$B$5*MAX(0.9,1+NORM.INV(RAND(),$J$5,$J$6))</f>
        <v/>
      </c>
      <c r="D713" s="12">
        <f>'Deal Analyzer'!$B$24+C713+B713*'Deal Analyzer'!$B$11</f>
        <v/>
      </c>
      <c r="E713" s="15">
        <f>IF(B713=0,0,(B713-D713)/B713)</f>
        <v/>
      </c>
      <c r="F713" s="2">
        <f>E713&gt;='Deal Analyzer'!$B$12</f>
        <v/>
      </c>
      <c r="G713" s="12">
        <f>IF(AND(F713,RAND()&lt;$J$7),'Deal Analyzer'!$B$8-'Deal Analyzer'!$B$10,-('Deal Analyzer'!$B$10+'Deal Analyzer'!$B$9*'Deal Analyzer'!$B$14))</f>
        <v/>
      </c>
      <c r="H713" s="2" t="n"/>
      <c r="I713" s="2" t="n"/>
      <c r="J713" s="2" t="n"/>
      <c r="K713" s="2" t="n"/>
    </row>
    <row r="714">
      <c r="A714" s="2" t="n">
        <v>703</v>
      </c>
      <c r="B714" s="12">
        <f>MAX(0,'Deal Analyzer'!$B$4*(1+NORM.INV(RAND(),0,$J$4)))</f>
        <v/>
      </c>
      <c r="C714" s="12">
        <f>'Deal Analyzer'!$B$5*MAX(0.9,1+NORM.INV(RAND(),$J$5,$J$6))</f>
        <v/>
      </c>
      <c r="D714" s="12">
        <f>'Deal Analyzer'!$B$24+C714+B714*'Deal Analyzer'!$B$11</f>
        <v/>
      </c>
      <c r="E714" s="15">
        <f>IF(B714=0,0,(B714-D714)/B714)</f>
        <v/>
      </c>
      <c r="F714" s="2">
        <f>E714&gt;='Deal Analyzer'!$B$12</f>
        <v/>
      </c>
      <c r="G714" s="12">
        <f>IF(AND(F714,RAND()&lt;$J$7),'Deal Analyzer'!$B$8-'Deal Analyzer'!$B$10,-('Deal Analyzer'!$B$10+'Deal Analyzer'!$B$9*'Deal Analyzer'!$B$14))</f>
        <v/>
      </c>
      <c r="H714" s="2" t="n"/>
      <c r="I714" s="2" t="n"/>
      <c r="J714" s="2" t="n"/>
      <c r="K714" s="2" t="n"/>
    </row>
    <row r="715">
      <c r="A715" s="2" t="n">
        <v>704</v>
      </c>
      <c r="B715" s="12">
        <f>MAX(0,'Deal Analyzer'!$B$4*(1+NORM.INV(RAND(),0,$J$4)))</f>
        <v/>
      </c>
      <c r="C715" s="12">
        <f>'Deal Analyzer'!$B$5*MAX(0.9,1+NORM.INV(RAND(),$J$5,$J$6))</f>
        <v/>
      </c>
      <c r="D715" s="12">
        <f>'Deal Analyzer'!$B$24+C715+B715*'Deal Analyzer'!$B$11</f>
        <v/>
      </c>
      <c r="E715" s="15">
        <f>IF(B715=0,0,(B715-D715)/B715)</f>
        <v/>
      </c>
      <c r="F715" s="2">
        <f>E715&gt;='Deal Analyzer'!$B$12</f>
        <v/>
      </c>
      <c r="G715" s="12">
        <f>IF(AND(F715,RAND()&lt;$J$7),'Deal Analyzer'!$B$8-'Deal Analyzer'!$B$10,-('Deal Analyzer'!$B$10+'Deal Analyzer'!$B$9*'Deal Analyzer'!$B$14))</f>
        <v/>
      </c>
      <c r="H715" s="2" t="n"/>
      <c r="I715" s="2" t="n"/>
      <c r="J715" s="2" t="n"/>
      <c r="K715" s="2" t="n"/>
    </row>
    <row r="716">
      <c r="A716" s="2" t="n">
        <v>705</v>
      </c>
      <c r="B716" s="12">
        <f>MAX(0,'Deal Analyzer'!$B$4*(1+NORM.INV(RAND(),0,$J$4)))</f>
        <v/>
      </c>
      <c r="C716" s="12">
        <f>'Deal Analyzer'!$B$5*MAX(0.9,1+NORM.INV(RAND(),$J$5,$J$6))</f>
        <v/>
      </c>
      <c r="D716" s="12">
        <f>'Deal Analyzer'!$B$24+C716+B716*'Deal Analyzer'!$B$11</f>
        <v/>
      </c>
      <c r="E716" s="15">
        <f>IF(B716=0,0,(B716-D716)/B716)</f>
        <v/>
      </c>
      <c r="F716" s="2">
        <f>E716&gt;='Deal Analyzer'!$B$12</f>
        <v/>
      </c>
      <c r="G716" s="12">
        <f>IF(AND(F716,RAND()&lt;$J$7),'Deal Analyzer'!$B$8-'Deal Analyzer'!$B$10,-('Deal Analyzer'!$B$10+'Deal Analyzer'!$B$9*'Deal Analyzer'!$B$14))</f>
        <v/>
      </c>
      <c r="H716" s="2" t="n"/>
      <c r="I716" s="2" t="n"/>
      <c r="J716" s="2" t="n"/>
      <c r="K716" s="2" t="n"/>
    </row>
    <row r="717">
      <c r="A717" s="2" t="n">
        <v>706</v>
      </c>
      <c r="B717" s="12">
        <f>MAX(0,'Deal Analyzer'!$B$4*(1+NORM.INV(RAND(),0,$J$4)))</f>
        <v/>
      </c>
      <c r="C717" s="12">
        <f>'Deal Analyzer'!$B$5*MAX(0.9,1+NORM.INV(RAND(),$J$5,$J$6))</f>
        <v/>
      </c>
      <c r="D717" s="12">
        <f>'Deal Analyzer'!$B$24+C717+B717*'Deal Analyzer'!$B$11</f>
        <v/>
      </c>
      <c r="E717" s="15">
        <f>IF(B717=0,0,(B717-D717)/B717)</f>
        <v/>
      </c>
      <c r="F717" s="2">
        <f>E717&gt;='Deal Analyzer'!$B$12</f>
        <v/>
      </c>
      <c r="G717" s="12">
        <f>IF(AND(F717,RAND()&lt;$J$7),'Deal Analyzer'!$B$8-'Deal Analyzer'!$B$10,-('Deal Analyzer'!$B$10+'Deal Analyzer'!$B$9*'Deal Analyzer'!$B$14))</f>
        <v/>
      </c>
      <c r="H717" s="2" t="n"/>
      <c r="I717" s="2" t="n"/>
      <c r="J717" s="2" t="n"/>
      <c r="K717" s="2" t="n"/>
    </row>
    <row r="718">
      <c r="A718" s="2" t="n">
        <v>707</v>
      </c>
      <c r="B718" s="12">
        <f>MAX(0,'Deal Analyzer'!$B$4*(1+NORM.INV(RAND(),0,$J$4)))</f>
        <v/>
      </c>
      <c r="C718" s="12">
        <f>'Deal Analyzer'!$B$5*MAX(0.9,1+NORM.INV(RAND(),$J$5,$J$6))</f>
        <v/>
      </c>
      <c r="D718" s="12">
        <f>'Deal Analyzer'!$B$24+C718+B718*'Deal Analyzer'!$B$11</f>
        <v/>
      </c>
      <c r="E718" s="15">
        <f>IF(B718=0,0,(B718-D718)/B718)</f>
        <v/>
      </c>
      <c r="F718" s="2">
        <f>E718&gt;='Deal Analyzer'!$B$12</f>
        <v/>
      </c>
      <c r="G718" s="12">
        <f>IF(AND(F718,RAND()&lt;$J$7),'Deal Analyzer'!$B$8-'Deal Analyzer'!$B$10,-('Deal Analyzer'!$B$10+'Deal Analyzer'!$B$9*'Deal Analyzer'!$B$14))</f>
        <v/>
      </c>
      <c r="H718" s="2" t="n"/>
      <c r="I718" s="2" t="n"/>
      <c r="J718" s="2" t="n"/>
      <c r="K718" s="2" t="n"/>
    </row>
    <row r="719">
      <c r="A719" s="2" t="n">
        <v>708</v>
      </c>
      <c r="B719" s="12">
        <f>MAX(0,'Deal Analyzer'!$B$4*(1+NORM.INV(RAND(),0,$J$4)))</f>
        <v/>
      </c>
      <c r="C719" s="12">
        <f>'Deal Analyzer'!$B$5*MAX(0.9,1+NORM.INV(RAND(),$J$5,$J$6))</f>
        <v/>
      </c>
      <c r="D719" s="12">
        <f>'Deal Analyzer'!$B$24+C719+B719*'Deal Analyzer'!$B$11</f>
        <v/>
      </c>
      <c r="E719" s="15">
        <f>IF(B719=0,0,(B719-D719)/B719)</f>
        <v/>
      </c>
      <c r="F719" s="2">
        <f>E719&gt;='Deal Analyzer'!$B$12</f>
        <v/>
      </c>
      <c r="G719" s="12">
        <f>IF(AND(F719,RAND()&lt;$J$7),'Deal Analyzer'!$B$8-'Deal Analyzer'!$B$10,-('Deal Analyzer'!$B$10+'Deal Analyzer'!$B$9*'Deal Analyzer'!$B$14))</f>
        <v/>
      </c>
      <c r="H719" s="2" t="n"/>
      <c r="I719" s="2" t="n"/>
      <c r="J719" s="2" t="n"/>
      <c r="K719" s="2" t="n"/>
    </row>
    <row r="720">
      <c r="A720" s="2" t="n">
        <v>709</v>
      </c>
      <c r="B720" s="12">
        <f>MAX(0,'Deal Analyzer'!$B$4*(1+NORM.INV(RAND(),0,$J$4)))</f>
        <v/>
      </c>
      <c r="C720" s="12">
        <f>'Deal Analyzer'!$B$5*MAX(0.9,1+NORM.INV(RAND(),$J$5,$J$6))</f>
        <v/>
      </c>
      <c r="D720" s="12">
        <f>'Deal Analyzer'!$B$24+C720+B720*'Deal Analyzer'!$B$11</f>
        <v/>
      </c>
      <c r="E720" s="15">
        <f>IF(B720=0,0,(B720-D720)/B720)</f>
        <v/>
      </c>
      <c r="F720" s="2">
        <f>E720&gt;='Deal Analyzer'!$B$12</f>
        <v/>
      </c>
      <c r="G720" s="12">
        <f>IF(AND(F720,RAND()&lt;$J$7),'Deal Analyzer'!$B$8-'Deal Analyzer'!$B$10,-('Deal Analyzer'!$B$10+'Deal Analyzer'!$B$9*'Deal Analyzer'!$B$14))</f>
        <v/>
      </c>
      <c r="H720" s="2" t="n"/>
      <c r="I720" s="2" t="n"/>
      <c r="J720" s="2" t="n"/>
      <c r="K720" s="2" t="n"/>
    </row>
    <row r="721">
      <c r="A721" s="2" t="n">
        <v>710</v>
      </c>
      <c r="B721" s="12">
        <f>MAX(0,'Deal Analyzer'!$B$4*(1+NORM.INV(RAND(),0,$J$4)))</f>
        <v/>
      </c>
      <c r="C721" s="12">
        <f>'Deal Analyzer'!$B$5*MAX(0.9,1+NORM.INV(RAND(),$J$5,$J$6))</f>
        <v/>
      </c>
      <c r="D721" s="12">
        <f>'Deal Analyzer'!$B$24+C721+B721*'Deal Analyzer'!$B$11</f>
        <v/>
      </c>
      <c r="E721" s="15">
        <f>IF(B721=0,0,(B721-D721)/B721)</f>
        <v/>
      </c>
      <c r="F721" s="2">
        <f>E721&gt;='Deal Analyzer'!$B$12</f>
        <v/>
      </c>
      <c r="G721" s="12">
        <f>IF(AND(F721,RAND()&lt;$J$7),'Deal Analyzer'!$B$8-'Deal Analyzer'!$B$10,-('Deal Analyzer'!$B$10+'Deal Analyzer'!$B$9*'Deal Analyzer'!$B$14))</f>
        <v/>
      </c>
      <c r="H721" s="2" t="n"/>
      <c r="I721" s="2" t="n"/>
      <c r="J721" s="2" t="n"/>
      <c r="K721" s="2" t="n"/>
    </row>
    <row r="722">
      <c r="A722" s="2" t="n">
        <v>711</v>
      </c>
      <c r="B722" s="12">
        <f>MAX(0,'Deal Analyzer'!$B$4*(1+NORM.INV(RAND(),0,$J$4)))</f>
        <v/>
      </c>
      <c r="C722" s="12">
        <f>'Deal Analyzer'!$B$5*MAX(0.9,1+NORM.INV(RAND(),$J$5,$J$6))</f>
        <v/>
      </c>
      <c r="D722" s="12">
        <f>'Deal Analyzer'!$B$24+C722+B722*'Deal Analyzer'!$B$11</f>
        <v/>
      </c>
      <c r="E722" s="15">
        <f>IF(B722=0,0,(B722-D722)/B722)</f>
        <v/>
      </c>
      <c r="F722" s="2">
        <f>E722&gt;='Deal Analyzer'!$B$12</f>
        <v/>
      </c>
      <c r="G722" s="12">
        <f>IF(AND(F722,RAND()&lt;$J$7),'Deal Analyzer'!$B$8-'Deal Analyzer'!$B$10,-('Deal Analyzer'!$B$10+'Deal Analyzer'!$B$9*'Deal Analyzer'!$B$14))</f>
        <v/>
      </c>
      <c r="H722" s="2" t="n"/>
      <c r="I722" s="2" t="n"/>
      <c r="J722" s="2" t="n"/>
      <c r="K722" s="2" t="n"/>
    </row>
    <row r="723">
      <c r="A723" s="2" t="n">
        <v>712</v>
      </c>
      <c r="B723" s="12">
        <f>MAX(0,'Deal Analyzer'!$B$4*(1+NORM.INV(RAND(),0,$J$4)))</f>
        <v/>
      </c>
      <c r="C723" s="12">
        <f>'Deal Analyzer'!$B$5*MAX(0.9,1+NORM.INV(RAND(),$J$5,$J$6))</f>
        <v/>
      </c>
      <c r="D723" s="12">
        <f>'Deal Analyzer'!$B$24+C723+B723*'Deal Analyzer'!$B$11</f>
        <v/>
      </c>
      <c r="E723" s="15">
        <f>IF(B723=0,0,(B723-D723)/B723)</f>
        <v/>
      </c>
      <c r="F723" s="2">
        <f>E723&gt;='Deal Analyzer'!$B$12</f>
        <v/>
      </c>
      <c r="G723" s="12">
        <f>IF(AND(F723,RAND()&lt;$J$7),'Deal Analyzer'!$B$8-'Deal Analyzer'!$B$10,-('Deal Analyzer'!$B$10+'Deal Analyzer'!$B$9*'Deal Analyzer'!$B$14))</f>
        <v/>
      </c>
      <c r="H723" s="2" t="n"/>
      <c r="I723" s="2" t="n"/>
      <c r="J723" s="2" t="n"/>
      <c r="K723" s="2" t="n"/>
    </row>
    <row r="724">
      <c r="A724" s="2" t="n">
        <v>713</v>
      </c>
      <c r="B724" s="12">
        <f>MAX(0,'Deal Analyzer'!$B$4*(1+NORM.INV(RAND(),0,$J$4)))</f>
        <v/>
      </c>
      <c r="C724" s="12">
        <f>'Deal Analyzer'!$B$5*MAX(0.9,1+NORM.INV(RAND(),$J$5,$J$6))</f>
        <v/>
      </c>
      <c r="D724" s="12">
        <f>'Deal Analyzer'!$B$24+C724+B724*'Deal Analyzer'!$B$11</f>
        <v/>
      </c>
      <c r="E724" s="15">
        <f>IF(B724=0,0,(B724-D724)/B724)</f>
        <v/>
      </c>
      <c r="F724" s="2">
        <f>E724&gt;='Deal Analyzer'!$B$12</f>
        <v/>
      </c>
      <c r="G724" s="12">
        <f>IF(AND(F724,RAND()&lt;$J$7),'Deal Analyzer'!$B$8-'Deal Analyzer'!$B$10,-('Deal Analyzer'!$B$10+'Deal Analyzer'!$B$9*'Deal Analyzer'!$B$14))</f>
        <v/>
      </c>
      <c r="H724" s="2" t="n"/>
      <c r="I724" s="2" t="n"/>
      <c r="J724" s="2" t="n"/>
      <c r="K724" s="2" t="n"/>
    </row>
    <row r="725">
      <c r="A725" s="2" t="n">
        <v>714</v>
      </c>
      <c r="B725" s="12">
        <f>MAX(0,'Deal Analyzer'!$B$4*(1+NORM.INV(RAND(),0,$J$4)))</f>
        <v/>
      </c>
      <c r="C725" s="12">
        <f>'Deal Analyzer'!$B$5*MAX(0.9,1+NORM.INV(RAND(),$J$5,$J$6))</f>
        <v/>
      </c>
      <c r="D725" s="12">
        <f>'Deal Analyzer'!$B$24+C725+B725*'Deal Analyzer'!$B$11</f>
        <v/>
      </c>
      <c r="E725" s="15">
        <f>IF(B725=0,0,(B725-D725)/B725)</f>
        <v/>
      </c>
      <c r="F725" s="2">
        <f>E725&gt;='Deal Analyzer'!$B$12</f>
        <v/>
      </c>
      <c r="G725" s="12">
        <f>IF(AND(F725,RAND()&lt;$J$7),'Deal Analyzer'!$B$8-'Deal Analyzer'!$B$10,-('Deal Analyzer'!$B$10+'Deal Analyzer'!$B$9*'Deal Analyzer'!$B$14))</f>
        <v/>
      </c>
      <c r="H725" s="2" t="n"/>
      <c r="I725" s="2" t="n"/>
      <c r="J725" s="2" t="n"/>
      <c r="K725" s="2" t="n"/>
    </row>
    <row r="726">
      <c r="A726" s="2" t="n">
        <v>715</v>
      </c>
      <c r="B726" s="12">
        <f>MAX(0,'Deal Analyzer'!$B$4*(1+NORM.INV(RAND(),0,$J$4)))</f>
        <v/>
      </c>
      <c r="C726" s="12">
        <f>'Deal Analyzer'!$B$5*MAX(0.9,1+NORM.INV(RAND(),$J$5,$J$6))</f>
        <v/>
      </c>
      <c r="D726" s="12">
        <f>'Deal Analyzer'!$B$24+C726+B726*'Deal Analyzer'!$B$11</f>
        <v/>
      </c>
      <c r="E726" s="15">
        <f>IF(B726=0,0,(B726-D726)/B726)</f>
        <v/>
      </c>
      <c r="F726" s="2">
        <f>E726&gt;='Deal Analyzer'!$B$12</f>
        <v/>
      </c>
      <c r="G726" s="12">
        <f>IF(AND(F726,RAND()&lt;$J$7),'Deal Analyzer'!$B$8-'Deal Analyzer'!$B$10,-('Deal Analyzer'!$B$10+'Deal Analyzer'!$B$9*'Deal Analyzer'!$B$14))</f>
        <v/>
      </c>
      <c r="H726" s="2" t="n"/>
      <c r="I726" s="2" t="n"/>
      <c r="J726" s="2" t="n"/>
      <c r="K726" s="2" t="n"/>
    </row>
    <row r="727">
      <c r="A727" s="2" t="n">
        <v>716</v>
      </c>
      <c r="B727" s="12">
        <f>MAX(0,'Deal Analyzer'!$B$4*(1+NORM.INV(RAND(),0,$J$4)))</f>
        <v/>
      </c>
      <c r="C727" s="12">
        <f>'Deal Analyzer'!$B$5*MAX(0.9,1+NORM.INV(RAND(),$J$5,$J$6))</f>
        <v/>
      </c>
      <c r="D727" s="12">
        <f>'Deal Analyzer'!$B$24+C727+B727*'Deal Analyzer'!$B$11</f>
        <v/>
      </c>
      <c r="E727" s="15">
        <f>IF(B727=0,0,(B727-D727)/B727)</f>
        <v/>
      </c>
      <c r="F727" s="2">
        <f>E727&gt;='Deal Analyzer'!$B$12</f>
        <v/>
      </c>
      <c r="G727" s="12">
        <f>IF(AND(F727,RAND()&lt;$J$7),'Deal Analyzer'!$B$8-'Deal Analyzer'!$B$10,-('Deal Analyzer'!$B$10+'Deal Analyzer'!$B$9*'Deal Analyzer'!$B$14))</f>
        <v/>
      </c>
      <c r="H727" s="2" t="n"/>
      <c r="I727" s="2" t="n"/>
      <c r="J727" s="2" t="n"/>
      <c r="K727" s="2" t="n"/>
    </row>
    <row r="728">
      <c r="A728" s="2" t="n">
        <v>717</v>
      </c>
      <c r="B728" s="12">
        <f>MAX(0,'Deal Analyzer'!$B$4*(1+NORM.INV(RAND(),0,$J$4)))</f>
        <v/>
      </c>
      <c r="C728" s="12">
        <f>'Deal Analyzer'!$B$5*MAX(0.9,1+NORM.INV(RAND(),$J$5,$J$6))</f>
        <v/>
      </c>
      <c r="D728" s="12">
        <f>'Deal Analyzer'!$B$24+C728+B728*'Deal Analyzer'!$B$11</f>
        <v/>
      </c>
      <c r="E728" s="15">
        <f>IF(B728=0,0,(B728-D728)/B728)</f>
        <v/>
      </c>
      <c r="F728" s="2">
        <f>E728&gt;='Deal Analyzer'!$B$12</f>
        <v/>
      </c>
      <c r="G728" s="12">
        <f>IF(AND(F728,RAND()&lt;$J$7),'Deal Analyzer'!$B$8-'Deal Analyzer'!$B$10,-('Deal Analyzer'!$B$10+'Deal Analyzer'!$B$9*'Deal Analyzer'!$B$14))</f>
        <v/>
      </c>
      <c r="H728" s="2" t="n"/>
      <c r="I728" s="2" t="n"/>
      <c r="J728" s="2" t="n"/>
      <c r="K728" s="2" t="n"/>
    </row>
    <row r="729">
      <c r="A729" s="2" t="n">
        <v>718</v>
      </c>
      <c r="B729" s="12">
        <f>MAX(0,'Deal Analyzer'!$B$4*(1+NORM.INV(RAND(),0,$J$4)))</f>
        <v/>
      </c>
      <c r="C729" s="12">
        <f>'Deal Analyzer'!$B$5*MAX(0.9,1+NORM.INV(RAND(),$J$5,$J$6))</f>
        <v/>
      </c>
      <c r="D729" s="12">
        <f>'Deal Analyzer'!$B$24+C729+B729*'Deal Analyzer'!$B$11</f>
        <v/>
      </c>
      <c r="E729" s="15">
        <f>IF(B729=0,0,(B729-D729)/B729)</f>
        <v/>
      </c>
      <c r="F729" s="2">
        <f>E729&gt;='Deal Analyzer'!$B$12</f>
        <v/>
      </c>
      <c r="G729" s="12">
        <f>IF(AND(F729,RAND()&lt;$J$7),'Deal Analyzer'!$B$8-'Deal Analyzer'!$B$10,-('Deal Analyzer'!$B$10+'Deal Analyzer'!$B$9*'Deal Analyzer'!$B$14))</f>
        <v/>
      </c>
      <c r="H729" s="2" t="n"/>
      <c r="I729" s="2" t="n"/>
      <c r="J729" s="2" t="n"/>
      <c r="K729" s="2" t="n"/>
    </row>
    <row r="730">
      <c r="A730" s="2" t="n">
        <v>719</v>
      </c>
      <c r="B730" s="12">
        <f>MAX(0,'Deal Analyzer'!$B$4*(1+NORM.INV(RAND(),0,$J$4)))</f>
        <v/>
      </c>
      <c r="C730" s="12">
        <f>'Deal Analyzer'!$B$5*MAX(0.9,1+NORM.INV(RAND(),$J$5,$J$6))</f>
        <v/>
      </c>
      <c r="D730" s="12">
        <f>'Deal Analyzer'!$B$24+C730+B730*'Deal Analyzer'!$B$11</f>
        <v/>
      </c>
      <c r="E730" s="15">
        <f>IF(B730=0,0,(B730-D730)/B730)</f>
        <v/>
      </c>
      <c r="F730" s="2">
        <f>E730&gt;='Deal Analyzer'!$B$12</f>
        <v/>
      </c>
      <c r="G730" s="12">
        <f>IF(AND(F730,RAND()&lt;$J$7),'Deal Analyzer'!$B$8-'Deal Analyzer'!$B$10,-('Deal Analyzer'!$B$10+'Deal Analyzer'!$B$9*'Deal Analyzer'!$B$14))</f>
        <v/>
      </c>
      <c r="H730" s="2" t="n"/>
      <c r="I730" s="2" t="n"/>
      <c r="J730" s="2" t="n"/>
      <c r="K730" s="2" t="n"/>
    </row>
    <row r="731">
      <c r="A731" s="2" t="n">
        <v>720</v>
      </c>
      <c r="B731" s="12">
        <f>MAX(0,'Deal Analyzer'!$B$4*(1+NORM.INV(RAND(),0,$J$4)))</f>
        <v/>
      </c>
      <c r="C731" s="12">
        <f>'Deal Analyzer'!$B$5*MAX(0.9,1+NORM.INV(RAND(),$J$5,$J$6))</f>
        <v/>
      </c>
      <c r="D731" s="12">
        <f>'Deal Analyzer'!$B$24+C731+B731*'Deal Analyzer'!$B$11</f>
        <v/>
      </c>
      <c r="E731" s="15">
        <f>IF(B731=0,0,(B731-D731)/B731)</f>
        <v/>
      </c>
      <c r="F731" s="2">
        <f>E731&gt;='Deal Analyzer'!$B$12</f>
        <v/>
      </c>
      <c r="G731" s="12">
        <f>IF(AND(F731,RAND()&lt;$J$7),'Deal Analyzer'!$B$8-'Deal Analyzer'!$B$10,-('Deal Analyzer'!$B$10+'Deal Analyzer'!$B$9*'Deal Analyzer'!$B$14))</f>
        <v/>
      </c>
      <c r="H731" s="2" t="n"/>
      <c r="I731" s="2" t="n"/>
      <c r="J731" s="2" t="n"/>
      <c r="K731" s="2" t="n"/>
    </row>
    <row r="732">
      <c r="A732" s="2" t="n">
        <v>721</v>
      </c>
      <c r="B732" s="12">
        <f>MAX(0,'Deal Analyzer'!$B$4*(1+NORM.INV(RAND(),0,$J$4)))</f>
        <v/>
      </c>
      <c r="C732" s="12">
        <f>'Deal Analyzer'!$B$5*MAX(0.9,1+NORM.INV(RAND(),$J$5,$J$6))</f>
        <v/>
      </c>
      <c r="D732" s="12">
        <f>'Deal Analyzer'!$B$24+C732+B732*'Deal Analyzer'!$B$11</f>
        <v/>
      </c>
      <c r="E732" s="15">
        <f>IF(B732=0,0,(B732-D732)/B732)</f>
        <v/>
      </c>
      <c r="F732" s="2">
        <f>E732&gt;='Deal Analyzer'!$B$12</f>
        <v/>
      </c>
      <c r="G732" s="12">
        <f>IF(AND(F732,RAND()&lt;$J$7),'Deal Analyzer'!$B$8-'Deal Analyzer'!$B$10,-('Deal Analyzer'!$B$10+'Deal Analyzer'!$B$9*'Deal Analyzer'!$B$14))</f>
        <v/>
      </c>
      <c r="H732" s="2" t="n"/>
      <c r="I732" s="2" t="n"/>
      <c r="J732" s="2" t="n"/>
      <c r="K732" s="2" t="n"/>
    </row>
    <row r="733">
      <c r="A733" s="2" t="n">
        <v>722</v>
      </c>
      <c r="B733" s="12">
        <f>MAX(0,'Deal Analyzer'!$B$4*(1+NORM.INV(RAND(),0,$J$4)))</f>
        <v/>
      </c>
      <c r="C733" s="12">
        <f>'Deal Analyzer'!$B$5*MAX(0.9,1+NORM.INV(RAND(),$J$5,$J$6))</f>
        <v/>
      </c>
      <c r="D733" s="12">
        <f>'Deal Analyzer'!$B$24+C733+B733*'Deal Analyzer'!$B$11</f>
        <v/>
      </c>
      <c r="E733" s="15">
        <f>IF(B733=0,0,(B733-D733)/B733)</f>
        <v/>
      </c>
      <c r="F733" s="2">
        <f>E733&gt;='Deal Analyzer'!$B$12</f>
        <v/>
      </c>
      <c r="G733" s="12">
        <f>IF(AND(F733,RAND()&lt;$J$7),'Deal Analyzer'!$B$8-'Deal Analyzer'!$B$10,-('Deal Analyzer'!$B$10+'Deal Analyzer'!$B$9*'Deal Analyzer'!$B$14))</f>
        <v/>
      </c>
      <c r="H733" s="2" t="n"/>
      <c r="I733" s="2" t="n"/>
      <c r="J733" s="2" t="n"/>
      <c r="K733" s="2" t="n"/>
    </row>
    <row r="734">
      <c r="A734" s="2" t="n">
        <v>723</v>
      </c>
      <c r="B734" s="12">
        <f>MAX(0,'Deal Analyzer'!$B$4*(1+NORM.INV(RAND(),0,$J$4)))</f>
        <v/>
      </c>
      <c r="C734" s="12">
        <f>'Deal Analyzer'!$B$5*MAX(0.9,1+NORM.INV(RAND(),$J$5,$J$6))</f>
        <v/>
      </c>
      <c r="D734" s="12">
        <f>'Deal Analyzer'!$B$24+C734+B734*'Deal Analyzer'!$B$11</f>
        <v/>
      </c>
      <c r="E734" s="15">
        <f>IF(B734=0,0,(B734-D734)/B734)</f>
        <v/>
      </c>
      <c r="F734" s="2">
        <f>E734&gt;='Deal Analyzer'!$B$12</f>
        <v/>
      </c>
      <c r="G734" s="12">
        <f>IF(AND(F734,RAND()&lt;$J$7),'Deal Analyzer'!$B$8-'Deal Analyzer'!$B$10,-('Deal Analyzer'!$B$10+'Deal Analyzer'!$B$9*'Deal Analyzer'!$B$14))</f>
        <v/>
      </c>
      <c r="H734" s="2" t="n"/>
      <c r="I734" s="2" t="n"/>
      <c r="J734" s="2" t="n"/>
      <c r="K734" s="2" t="n"/>
    </row>
    <row r="735">
      <c r="A735" s="2" t="n">
        <v>724</v>
      </c>
      <c r="B735" s="12">
        <f>MAX(0,'Deal Analyzer'!$B$4*(1+NORM.INV(RAND(),0,$J$4)))</f>
        <v/>
      </c>
      <c r="C735" s="12">
        <f>'Deal Analyzer'!$B$5*MAX(0.9,1+NORM.INV(RAND(),$J$5,$J$6))</f>
        <v/>
      </c>
      <c r="D735" s="12">
        <f>'Deal Analyzer'!$B$24+C735+B735*'Deal Analyzer'!$B$11</f>
        <v/>
      </c>
      <c r="E735" s="15">
        <f>IF(B735=0,0,(B735-D735)/B735)</f>
        <v/>
      </c>
      <c r="F735" s="2">
        <f>E735&gt;='Deal Analyzer'!$B$12</f>
        <v/>
      </c>
      <c r="G735" s="12">
        <f>IF(AND(F735,RAND()&lt;$J$7),'Deal Analyzer'!$B$8-'Deal Analyzer'!$B$10,-('Deal Analyzer'!$B$10+'Deal Analyzer'!$B$9*'Deal Analyzer'!$B$14))</f>
        <v/>
      </c>
      <c r="H735" s="2" t="n"/>
      <c r="I735" s="2" t="n"/>
      <c r="J735" s="2" t="n"/>
      <c r="K735" s="2" t="n"/>
    </row>
    <row r="736">
      <c r="A736" s="2" t="n">
        <v>725</v>
      </c>
      <c r="B736" s="12">
        <f>MAX(0,'Deal Analyzer'!$B$4*(1+NORM.INV(RAND(),0,$J$4)))</f>
        <v/>
      </c>
      <c r="C736" s="12">
        <f>'Deal Analyzer'!$B$5*MAX(0.9,1+NORM.INV(RAND(),$J$5,$J$6))</f>
        <v/>
      </c>
      <c r="D736" s="12">
        <f>'Deal Analyzer'!$B$24+C736+B736*'Deal Analyzer'!$B$11</f>
        <v/>
      </c>
      <c r="E736" s="15">
        <f>IF(B736=0,0,(B736-D736)/B736)</f>
        <v/>
      </c>
      <c r="F736" s="2">
        <f>E736&gt;='Deal Analyzer'!$B$12</f>
        <v/>
      </c>
      <c r="G736" s="12">
        <f>IF(AND(F736,RAND()&lt;$J$7),'Deal Analyzer'!$B$8-'Deal Analyzer'!$B$10,-('Deal Analyzer'!$B$10+'Deal Analyzer'!$B$9*'Deal Analyzer'!$B$14))</f>
        <v/>
      </c>
      <c r="H736" s="2" t="n"/>
      <c r="I736" s="2" t="n"/>
      <c r="J736" s="2" t="n"/>
      <c r="K736" s="2" t="n"/>
    </row>
    <row r="737">
      <c r="A737" s="2" t="n">
        <v>726</v>
      </c>
      <c r="B737" s="12">
        <f>MAX(0,'Deal Analyzer'!$B$4*(1+NORM.INV(RAND(),0,$J$4)))</f>
        <v/>
      </c>
      <c r="C737" s="12">
        <f>'Deal Analyzer'!$B$5*MAX(0.9,1+NORM.INV(RAND(),$J$5,$J$6))</f>
        <v/>
      </c>
      <c r="D737" s="12">
        <f>'Deal Analyzer'!$B$24+C737+B737*'Deal Analyzer'!$B$11</f>
        <v/>
      </c>
      <c r="E737" s="15">
        <f>IF(B737=0,0,(B737-D737)/B737)</f>
        <v/>
      </c>
      <c r="F737" s="2">
        <f>E737&gt;='Deal Analyzer'!$B$12</f>
        <v/>
      </c>
      <c r="G737" s="12">
        <f>IF(AND(F737,RAND()&lt;$J$7),'Deal Analyzer'!$B$8-'Deal Analyzer'!$B$10,-('Deal Analyzer'!$B$10+'Deal Analyzer'!$B$9*'Deal Analyzer'!$B$14))</f>
        <v/>
      </c>
      <c r="H737" s="2" t="n"/>
      <c r="I737" s="2" t="n"/>
      <c r="J737" s="2" t="n"/>
      <c r="K737" s="2" t="n"/>
    </row>
    <row r="738">
      <c r="A738" s="2" t="n">
        <v>727</v>
      </c>
      <c r="B738" s="12">
        <f>MAX(0,'Deal Analyzer'!$B$4*(1+NORM.INV(RAND(),0,$J$4)))</f>
        <v/>
      </c>
      <c r="C738" s="12">
        <f>'Deal Analyzer'!$B$5*MAX(0.9,1+NORM.INV(RAND(),$J$5,$J$6))</f>
        <v/>
      </c>
      <c r="D738" s="12">
        <f>'Deal Analyzer'!$B$24+C738+B738*'Deal Analyzer'!$B$11</f>
        <v/>
      </c>
      <c r="E738" s="15">
        <f>IF(B738=0,0,(B738-D738)/B738)</f>
        <v/>
      </c>
      <c r="F738" s="2">
        <f>E738&gt;='Deal Analyzer'!$B$12</f>
        <v/>
      </c>
      <c r="G738" s="12">
        <f>IF(AND(F738,RAND()&lt;$J$7),'Deal Analyzer'!$B$8-'Deal Analyzer'!$B$10,-('Deal Analyzer'!$B$10+'Deal Analyzer'!$B$9*'Deal Analyzer'!$B$14))</f>
        <v/>
      </c>
      <c r="H738" s="2" t="n"/>
      <c r="I738" s="2" t="n"/>
      <c r="J738" s="2" t="n"/>
      <c r="K738" s="2" t="n"/>
    </row>
    <row r="739">
      <c r="A739" s="2" t="n">
        <v>728</v>
      </c>
      <c r="B739" s="12">
        <f>MAX(0,'Deal Analyzer'!$B$4*(1+NORM.INV(RAND(),0,$J$4)))</f>
        <v/>
      </c>
      <c r="C739" s="12">
        <f>'Deal Analyzer'!$B$5*MAX(0.9,1+NORM.INV(RAND(),$J$5,$J$6))</f>
        <v/>
      </c>
      <c r="D739" s="12">
        <f>'Deal Analyzer'!$B$24+C739+B739*'Deal Analyzer'!$B$11</f>
        <v/>
      </c>
      <c r="E739" s="15">
        <f>IF(B739=0,0,(B739-D739)/B739)</f>
        <v/>
      </c>
      <c r="F739" s="2">
        <f>E739&gt;='Deal Analyzer'!$B$12</f>
        <v/>
      </c>
      <c r="G739" s="12">
        <f>IF(AND(F739,RAND()&lt;$J$7),'Deal Analyzer'!$B$8-'Deal Analyzer'!$B$10,-('Deal Analyzer'!$B$10+'Deal Analyzer'!$B$9*'Deal Analyzer'!$B$14))</f>
        <v/>
      </c>
      <c r="H739" s="2" t="n"/>
      <c r="I739" s="2" t="n"/>
      <c r="J739" s="2" t="n"/>
      <c r="K739" s="2" t="n"/>
    </row>
    <row r="740">
      <c r="A740" s="2" t="n">
        <v>729</v>
      </c>
      <c r="B740" s="12">
        <f>MAX(0,'Deal Analyzer'!$B$4*(1+NORM.INV(RAND(),0,$J$4)))</f>
        <v/>
      </c>
      <c r="C740" s="12">
        <f>'Deal Analyzer'!$B$5*MAX(0.9,1+NORM.INV(RAND(),$J$5,$J$6))</f>
        <v/>
      </c>
      <c r="D740" s="12">
        <f>'Deal Analyzer'!$B$24+C740+B740*'Deal Analyzer'!$B$11</f>
        <v/>
      </c>
      <c r="E740" s="15">
        <f>IF(B740=0,0,(B740-D740)/B740)</f>
        <v/>
      </c>
      <c r="F740" s="2">
        <f>E740&gt;='Deal Analyzer'!$B$12</f>
        <v/>
      </c>
      <c r="G740" s="12">
        <f>IF(AND(F740,RAND()&lt;$J$7),'Deal Analyzer'!$B$8-'Deal Analyzer'!$B$10,-('Deal Analyzer'!$B$10+'Deal Analyzer'!$B$9*'Deal Analyzer'!$B$14))</f>
        <v/>
      </c>
      <c r="H740" s="2" t="n"/>
      <c r="I740" s="2" t="n"/>
      <c r="J740" s="2" t="n"/>
      <c r="K740" s="2" t="n"/>
    </row>
    <row r="741">
      <c r="A741" s="2" t="n">
        <v>730</v>
      </c>
      <c r="B741" s="12">
        <f>MAX(0,'Deal Analyzer'!$B$4*(1+NORM.INV(RAND(),0,$J$4)))</f>
        <v/>
      </c>
      <c r="C741" s="12">
        <f>'Deal Analyzer'!$B$5*MAX(0.9,1+NORM.INV(RAND(),$J$5,$J$6))</f>
        <v/>
      </c>
      <c r="D741" s="12">
        <f>'Deal Analyzer'!$B$24+C741+B741*'Deal Analyzer'!$B$11</f>
        <v/>
      </c>
      <c r="E741" s="15">
        <f>IF(B741=0,0,(B741-D741)/B741)</f>
        <v/>
      </c>
      <c r="F741" s="2">
        <f>E741&gt;='Deal Analyzer'!$B$12</f>
        <v/>
      </c>
      <c r="G741" s="12">
        <f>IF(AND(F741,RAND()&lt;$J$7),'Deal Analyzer'!$B$8-'Deal Analyzer'!$B$10,-('Deal Analyzer'!$B$10+'Deal Analyzer'!$B$9*'Deal Analyzer'!$B$14))</f>
        <v/>
      </c>
      <c r="H741" s="2" t="n"/>
      <c r="I741" s="2" t="n"/>
      <c r="J741" s="2" t="n"/>
      <c r="K741" s="2" t="n"/>
    </row>
    <row r="742">
      <c r="A742" s="2" t="n">
        <v>731</v>
      </c>
      <c r="B742" s="12">
        <f>MAX(0,'Deal Analyzer'!$B$4*(1+NORM.INV(RAND(),0,$J$4)))</f>
        <v/>
      </c>
      <c r="C742" s="12">
        <f>'Deal Analyzer'!$B$5*MAX(0.9,1+NORM.INV(RAND(),$J$5,$J$6))</f>
        <v/>
      </c>
      <c r="D742" s="12">
        <f>'Deal Analyzer'!$B$24+C742+B742*'Deal Analyzer'!$B$11</f>
        <v/>
      </c>
      <c r="E742" s="15">
        <f>IF(B742=0,0,(B742-D742)/B742)</f>
        <v/>
      </c>
      <c r="F742" s="2">
        <f>E742&gt;='Deal Analyzer'!$B$12</f>
        <v/>
      </c>
      <c r="G742" s="12">
        <f>IF(AND(F742,RAND()&lt;$J$7),'Deal Analyzer'!$B$8-'Deal Analyzer'!$B$10,-('Deal Analyzer'!$B$10+'Deal Analyzer'!$B$9*'Deal Analyzer'!$B$14))</f>
        <v/>
      </c>
      <c r="H742" s="2" t="n"/>
      <c r="I742" s="2" t="n"/>
      <c r="J742" s="2" t="n"/>
      <c r="K742" s="2" t="n"/>
    </row>
    <row r="743">
      <c r="A743" s="2" t="n">
        <v>732</v>
      </c>
      <c r="B743" s="12">
        <f>MAX(0,'Deal Analyzer'!$B$4*(1+NORM.INV(RAND(),0,$J$4)))</f>
        <v/>
      </c>
      <c r="C743" s="12">
        <f>'Deal Analyzer'!$B$5*MAX(0.9,1+NORM.INV(RAND(),$J$5,$J$6))</f>
        <v/>
      </c>
      <c r="D743" s="12">
        <f>'Deal Analyzer'!$B$24+C743+B743*'Deal Analyzer'!$B$11</f>
        <v/>
      </c>
      <c r="E743" s="15">
        <f>IF(B743=0,0,(B743-D743)/B743)</f>
        <v/>
      </c>
      <c r="F743" s="2">
        <f>E743&gt;='Deal Analyzer'!$B$12</f>
        <v/>
      </c>
      <c r="G743" s="12">
        <f>IF(AND(F743,RAND()&lt;$J$7),'Deal Analyzer'!$B$8-'Deal Analyzer'!$B$10,-('Deal Analyzer'!$B$10+'Deal Analyzer'!$B$9*'Deal Analyzer'!$B$14))</f>
        <v/>
      </c>
      <c r="H743" s="2" t="n"/>
      <c r="I743" s="2" t="n"/>
      <c r="J743" s="2" t="n"/>
      <c r="K743" s="2" t="n"/>
    </row>
    <row r="744">
      <c r="A744" s="2" t="n">
        <v>733</v>
      </c>
      <c r="B744" s="12">
        <f>MAX(0,'Deal Analyzer'!$B$4*(1+NORM.INV(RAND(),0,$J$4)))</f>
        <v/>
      </c>
      <c r="C744" s="12">
        <f>'Deal Analyzer'!$B$5*MAX(0.9,1+NORM.INV(RAND(),$J$5,$J$6))</f>
        <v/>
      </c>
      <c r="D744" s="12">
        <f>'Deal Analyzer'!$B$24+C744+B744*'Deal Analyzer'!$B$11</f>
        <v/>
      </c>
      <c r="E744" s="15">
        <f>IF(B744=0,0,(B744-D744)/B744)</f>
        <v/>
      </c>
      <c r="F744" s="2">
        <f>E744&gt;='Deal Analyzer'!$B$12</f>
        <v/>
      </c>
      <c r="G744" s="12">
        <f>IF(AND(F744,RAND()&lt;$J$7),'Deal Analyzer'!$B$8-'Deal Analyzer'!$B$10,-('Deal Analyzer'!$B$10+'Deal Analyzer'!$B$9*'Deal Analyzer'!$B$14))</f>
        <v/>
      </c>
      <c r="H744" s="2" t="n"/>
      <c r="I744" s="2" t="n"/>
      <c r="J744" s="2" t="n"/>
      <c r="K744" s="2" t="n"/>
    </row>
    <row r="745">
      <c r="A745" s="2" t="n">
        <v>734</v>
      </c>
      <c r="B745" s="12">
        <f>MAX(0,'Deal Analyzer'!$B$4*(1+NORM.INV(RAND(),0,$J$4)))</f>
        <v/>
      </c>
      <c r="C745" s="12">
        <f>'Deal Analyzer'!$B$5*MAX(0.9,1+NORM.INV(RAND(),$J$5,$J$6))</f>
        <v/>
      </c>
      <c r="D745" s="12">
        <f>'Deal Analyzer'!$B$24+C745+B745*'Deal Analyzer'!$B$11</f>
        <v/>
      </c>
      <c r="E745" s="15">
        <f>IF(B745=0,0,(B745-D745)/B745)</f>
        <v/>
      </c>
      <c r="F745" s="2">
        <f>E745&gt;='Deal Analyzer'!$B$12</f>
        <v/>
      </c>
      <c r="G745" s="12">
        <f>IF(AND(F745,RAND()&lt;$J$7),'Deal Analyzer'!$B$8-'Deal Analyzer'!$B$10,-('Deal Analyzer'!$B$10+'Deal Analyzer'!$B$9*'Deal Analyzer'!$B$14))</f>
        <v/>
      </c>
      <c r="H745" s="2" t="n"/>
      <c r="I745" s="2" t="n"/>
      <c r="J745" s="2" t="n"/>
      <c r="K745" s="2" t="n"/>
    </row>
    <row r="746">
      <c r="A746" s="2" t="n">
        <v>735</v>
      </c>
      <c r="B746" s="12">
        <f>MAX(0,'Deal Analyzer'!$B$4*(1+NORM.INV(RAND(),0,$J$4)))</f>
        <v/>
      </c>
      <c r="C746" s="12">
        <f>'Deal Analyzer'!$B$5*MAX(0.9,1+NORM.INV(RAND(),$J$5,$J$6))</f>
        <v/>
      </c>
      <c r="D746" s="12">
        <f>'Deal Analyzer'!$B$24+C746+B746*'Deal Analyzer'!$B$11</f>
        <v/>
      </c>
      <c r="E746" s="15">
        <f>IF(B746=0,0,(B746-D746)/B746)</f>
        <v/>
      </c>
      <c r="F746" s="2">
        <f>E746&gt;='Deal Analyzer'!$B$12</f>
        <v/>
      </c>
      <c r="G746" s="12">
        <f>IF(AND(F746,RAND()&lt;$J$7),'Deal Analyzer'!$B$8-'Deal Analyzer'!$B$10,-('Deal Analyzer'!$B$10+'Deal Analyzer'!$B$9*'Deal Analyzer'!$B$14))</f>
        <v/>
      </c>
      <c r="H746" s="2" t="n"/>
      <c r="I746" s="2" t="n"/>
      <c r="J746" s="2" t="n"/>
      <c r="K746" s="2" t="n"/>
    </row>
    <row r="747">
      <c r="A747" s="2" t="n">
        <v>736</v>
      </c>
      <c r="B747" s="12">
        <f>MAX(0,'Deal Analyzer'!$B$4*(1+NORM.INV(RAND(),0,$J$4)))</f>
        <v/>
      </c>
      <c r="C747" s="12">
        <f>'Deal Analyzer'!$B$5*MAX(0.9,1+NORM.INV(RAND(),$J$5,$J$6))</f>
        <v/>
      </c>
      <c r="D747" s="12">
        <f>'Deal Analyzer'!$B$24+C747+B747*'Deal Analyzer'!$B$11</f>
        <v/>
      </c>
      <c r="E747" s="15">
        <f>IF(B747=0,0,(B747-D747)/B747)</f>
        <v/>
      </c>
      <c r="F747" s="2">
        <f>E747&gt;='Deal Analyzer'!$B$12</f>
        <v/>
      </c>
      <c r="G747" s="12">
        <f>IF(AND(F747,RAND()&lt;$J$7),'Deal Analyzer'!$B$8-'Deal Analyzer'!$B$10,-('Deal Analyzer'!$B$10+'Deal Analyzer'!$B$9*'Deal Analyzer'!$B$14))</f>
        <v/>
      </c>
      <c r="H747" s="2" t="n"/>
      <c r="I747" s="2" t="n"/>
      <c r="J747" s="2" t="n"/>
      <c r="K747" s="2" t="n"/>
    </row>
    <row r="748">
      <c r="A748" s="2" t="n">
        <v>737</v>
      </c>
      <c r="B748" s="12">
        <f>MAX(0,'Deal Analyzer'!$B$4*(1+NORM.INV(RAND(),0,$J$4)))</f>
        <v/>
      </c>
      <c r="C748" s="12">
        <f>'Deal Analyzer'!$B$5*MAX(0.9,1+NORM.INV(RAND(),$J$5,$J$6))</f>
        <v/>
      </c>
      <c r="D748" s="12">
        <f>'Deal Analyzer'!$B$24+C748+B748*'Deal Analyzer'!$B$11</f>
        <v/>
      </c>
      <c r="E748" s="15">
        <f>IF(B748=0,0,(B748-D748)/B748)</f>
        <v/>
      </c>
      <c r="F748" s="2">
        <f>E748&gt;='Deal Analyzer'!$B$12</f>
        <v/>
      </c>
      <c r="G748" s="12">
        <f>IF(AND(F748,RAND()&lt;$J$7),'Deal Analyzer'!$B$8-'Deal Analyzer'!$B$10,-('Deal Analyzer'!$B$10+'Deal Analyzer'!$B$9*'Deal Analyzer'!$B$14))</f>
        <v/>
      </c>
      <c r="H748" s="2" t="n"/>
      <c r="I748" s="2" t="n"/>
      <c r="J748" s="2" t="n"/>
      <c r="K748" s="2" t="n"/>
    </row>
    <row r="749">
      <c r="A749" s="2" t="n">
        <v>738</v>
      </c>
      <c r="B749" s="12">
        <f>MAX(0,'Deal Analyzer'!$B$4*(1+NORM.INV(RAND(),0,$J$4)))</f>
        <v/>
      </c>
      <c r="C749" s="12">
        <f>'Deal Analyzer'!$B$5*MAX(0.9,1+NORM.INV(RAND(),$J$5,$J$6))</f>
        <v/>
      </c>
      <c r="D749" s="12">
        <f>'Deal Analyzer'!$B$24+C749+B749*'Deal Analyzer'!$B$11</f>
        <v/>
      </c>
      <c r="E749" s="15">
        <f>IF(B749=0,0,(B749-D749)/B749)</f>
        <v/>
      </c>
      <c r="F749" s="2">
        <f>E749&gt;='Deal Analyzer'!$B$12</f>
        <v/>
      </c>
      <c r="G749" s="12">
        <f>IF(AND(F749,RAND()&lt;$J$7),'Deal Analyzer'!$B$8-'Deal Analyzer'!$B$10,-('Deal Analyzer'!$B$10+'Deal Analyzer'!$B$9*'Deal Analyzer'!$B$14))</f>
        <v/>
      </c>
      <c r="H749" s="2" t="n"/>
      <c r="I749" s="2" t="n"/>
      <c r="J749" s="2" t="n"/>
      <c r="K749" s="2" t="n"/>
    </row>
    <row r="750">
      <c r="A750" s="2" t="n">
        <v>739</v>
      </c>
      <c r="B750" s="12">
        <f>MAX(0,'Deal Analyzer'!$B$4*(1+NORM.INV(RAND(),0,$J$4)))</f>
        <v/>
      </c>
      <c r="C750" s="12">
        <f>'Deal Analyzer'!$B$5*MAX(0.9,1+NORM.INV(RAND(),$J$5,$J$6))</f>
        <v/>
      </c>
      <c r="D750" s="12">
        <f>'Deal Analyzer'!$B$24+C750+B750*'Deal Analyzer'!$B$11</f>
        <v/>
      </c>
      <c r="E750" s="15">
        <f>IF(B750=0,0,(B750-D750)/B750)</f>
        <v/>
      </c>
      <c r="F750" s="2">
        <f>E750&gt;='Deal Analyzer'!$B$12</f>
        <v/>
      </c>
      <c r="G750" s="12">
        <f>IF(AND(F750,RAND()&lt;$J$7),'Deal Analyzer'!$B$8-'Deal Analyzer'!$B$10,-('Deal Analyzer'!$B$10+'Deal Analyzer'!$B$9*'Deal Analyzer'!$B$14))</f>
        <v/>
      </c>
      <c r="H750" s="2" t="n"/>
      <c r="I750" s="2" t="n"/>
      <c r="J750" s="2" t="n"/>
      <c r="K750" s="2" t="n"/>
    </row>
    <row r="751">
      <c r="A751" s="2" t="n">
        <v>740</v>
      </c>
      <c r="B751" s="12">
        <f>MAX(0,'Deal Analyzer'!$B$4*(1+NORM.INV(RAND(),0,$J$4)))</f>
        <v/>
      </c>
      <c r="C751" s="12">
        <f>'Deal Analyzer'!$B$5*MAX(0.9,1+NORM.INV(RAND(),$J$5,$J$6))</f>
        <v/>
      </c>
      <c r="D751" s="12">
        <f>'Deal Analyzer'!$B$24+C751+B751*'Deal Analyzer'!$B$11</f>
        <v/>
      </c>
      <c r="E751" s="15">
        <f>IF(B751=0,0,(B751-D751)/B751)</f>
        <v/>
      </c>
      <c r="F751" s="2">
        <f>E751&gt;='Deal Analyzer'!$B$12</f>
        <v/>
      </c>
      <c r="G751" s="12">
        <f>IF(AND(F751,RAND()&lt;$J$7),'Deal Analyzer'!$B$8-'Deal Analyzer'!$B$10,-('Deal Analyzer'!$B$10+'Deal Analyzer'!$B$9*'Deal Analyzer'!$B$14))</f>
        <v/>
      </c>
      <c r="H751" s="2" t="n"/>
      <c r="I751" s="2" t="n"/>
      <c r="J751" s="2" t="n"/>
      <c r="K751" s="2" t="n"/>
    </row>
    <row r="752">
      <c r="A752" s="2" t="n">
        <v>741</v>
      </c>
      <c r="B752" s="12">
        <f>MAX(0,'Deal Analyzer'!$B$4*(1+NORM.INV(RAND(),0,$J$4)))</f>
        <v/>
      </c>
      <c r="C752" s="12">
        <f>'Deal Analyzer'!$B$5*MAX(0.9,1+NORM.INV(RAND(),$J$5,$J$6))</f>
        <v/>
      </c>
      <c r="D752" s="12">
        <f>'Deal Analyzer'!$B$24+C752+B752*'Deal Analyzer'!$B$11</f>
        <v/>
      </c>
      <c r="E752" s="15">
        <f>IF(B752=0,0,(B752-D752)/B752)</f>
        <v/>
      </c>
      <c r="F752" s="2">
        <f>E752&gt;='Deal Analyzer'!$B$12</f>
        <v/>
      </c>
      <c r="G752" s="12">
        <f>IF(AND(F752,RAND()&lt;$J$7),'Deal Analyzer'!$B$8-'Deal Analyzer'!$B$10,-('Deal Analyzer'!$B$10+'Deal Analyzer'!$B$9*'Deal Analyzer'!$B$14))</f>
        <v/>
      </c>
      <c r="H752" s="2" t="n"/>
      <c r="I752" s="2" t="n"/>
      <c r="J752" s="2" t="n"/>
      <c r="K752" s="2" t="n"/>
    </row>
    <row r="753">
      <c r="A753" s="2" t="n">
        <v>742</v>
      </c>
      <c r="B753" s="12">
        <f>MAX(0,'Deal Analyzer'!$B$4*(1+NORM.INV(RAND(),0,$J$4)))</f>
        <v/>
      </c>
      <c r="C753" s="12">
        <f>'Deal Analyzer'!$B$5*MAX(0.9,1+NORM.INV(RAND(),$J$5,$J$6))</f>
        <v/>
      </c>
      <c r="D753" s="12">
        <f>'Deal Analyzer'!$B$24+C753+B753*'Deal Analyzer'!$B$11</f>
        <v/>
      </c>
      <c r="E753" s="15">
        <f>IF(B753=0,0,(B753-D753)/B753)</f>
        <v/>
      </c>
      <c r="F753" s="2">
        <f>E753&gt;='Deal Analyzer'!$B$12</f>
        <v/>
      </c>
      <c r="G753" s="12">
        <f>IF(AND(F753,RAND()&lt;$J$7),'Deal Analyzer'!$B$8-'Deal Analyzer'!$B$10,-('Deal Analyzer'!$B$10+'Deal Analyzer'!$B$9*'Deal Analyzer'!$B$14))</f>
        <v/>
      </c>
      <c r="H753" s="2" t="n"/>
      <c r="I753" s="2" t="n"/>
      <c r="J753" s="2" t="n"/>
      <c r="K753" s="2" t="n"/>
    </row>
    <row r="754">
      <c r="A754" s="2" t="n">
        <v>743</v>
      </c>
      <c r="B754" s="12">
        <f>MAX(0,'Deal Analyzer'!$B$4*(1+NORM.INV(RAND(),0,$J$4)))</f>
        <v/>
      </c>
      <c r="C754" s="12">
        <f>'Deal Analyzer'!$B$5*MAX(0.9,1+NORM.INV(RAND(),$J$5,$J$6))</f>
        <v/>
      </c>
      <c r="D754" s="12">
        <f>'Deal Analyzer'!$B$24+C754+B754*'Deal Analyzer'!$B$11</f>
        <v/>
      </c>
      <c r="E754" s="15">
        <f>IF(B754=0,0,(B754-D754)/B754)</f>
        <v/>
      </c>
      <c r="F754" s="2">
        <f>E754&gt;='Deal Analyzer'!$B$12</f>
        <v/>
      </c>
      <c r="G754" s="12">
        <f>IF(AND(F754,RAND()&lt;$J$7),'Deal Analyzer'!$B$8-'Deal Analyzer'!$B$10,-('Deal Analyzer'!$B$10+'Deal Analyzer'!$B$9*'Deal Analyzer'!$B$14))</f>
        <v/>
      </c>
      <c r="H754" s="2" t="n"/>
      <c r="I754" s="2" t="n"/>
      <c r="J754" s="2" t="n"/>
      <c r="K754" s="2" t="n"/>
    </row>
    <row r="755">
      <c r="A755" s="2" t="n">
        <v>744</v>
      </c>
      <c r="B755" s="12">
        <f>MAX(0,'Deal Analyzer'!$B$4*(1+NORM.INV(RAND(),0,$J$4)))</f>
        <v/>
      </c>
      <c r="C755" s="12">
        <f>'Deal Analyzer'!$B$5*MAX(0.9,1+NORM.INV(RAND(),$J$5,$J$6))</f>
        <v/>
      </c>
      <c r="D755" s="12">
        <f>'Deal Analyzer'!$B$24+C755+B755*'Deal Analyzer'!$B$11</f>
        <v/>
      </c>
      <c r="E755" s="15">
        <f>IF(B755=0,0,(B755-D755)/B755)</f>
        <v/>
      </c>
      <c r="F755" s="2">
        <f>E755&gt;='Deal Analyzer'!$B$12</f>
        <v/>
      </c>
      <c r="G755" s="12">
        <f>IF(AND(F755,RAND()&lt;$J$7),'Deal Analyzer'!$B$8-'Deal Analyzer'!$B$10,-('Deal Analyzer'!$B$10+'Deal Analyzer'!$B$9*'Deal Analyzer'!$B$14))</f>
        <v/>
      </c>
      <c r="H755" s="2" t="n"/>
      <c r="I755" s="2" t="n"/>
      <c r="J755" s="2" t="n"/>
      <c r="K755" s="2" t="n"/>
    </row>
    <row r="756">
      <c r="A756" s="2" t="n">
        <v>745</v>
      </c>
      <c r="B756" s="12">
        <f>MAX(0,'Deal Analyzer'!$B$4*(1+NORM.INV(RAND(),0,$J$4)))</f>
        <v/>
      </c>
      <c r="C756" s="12">
        <f>'Deal Analyzer'!$B$5*MAX(0.9,1+NORM.INV(RAND(),$J$5,$J$6))</f>
        <v/>
      </c>
      <c r="D756" s="12">
        <f>'Deal Analyzer'!$B$24+C756+B756*'Deal Analyzer'!$B$11</f>
        <v/>
      </c>
      <c r="E756" s="15">
        <f>IF(B756=0,0,(B756-D756)/B756)</f>
        <v/>
      </c>
      <c r="F756" s="2">
        <f>E756&gt;='Deal Analyzer'!$B$12</f>
        <v/>
      </c>
      <c r="G756" s="12">
        <f>IF(AND(F756,RAND()&lt;$J$7),'Deal Analyzer'!$B$8-'Deal Analyzer'!$B$10,-('Deal Analyzer'!$B$10+'Deal Analyzer'!$B$9*'Deal Analyzer'!$B$14))</f>
        <v/>
      </c>
      <c r="H756" s="2" t="n"/>
      <c r="I756" s="2" t="n"/>
      <c r="J756" s="2" t="n"/>
      <c r="K756" s="2" t="n"/>
    </row>
    <row r="757">
      <c r="A757" s="2" t="n">
        <v>746</v>
      </c>
      <c r="B757" s="12">
        <f>MAX(0,'Deal Analyzer'!$B$4*(1+NORM.INV(RAND(),0,$J$4)))</f>
        <v/>
      </c>
      <c r="C757" s="12">
        <f>'Deal Analyzer'!$B$5*MAX(0.9,1+NORM.INV(RAND(),$J$5,$J$6))</f>
        <v/>
      </c>
      <c r="D757" s="12">
        <f>'Deal Analyzer'!$B$24+C757+B757*'Deal Analyzer'!$B$11</f>
        <v/>
      </c>
      <c r="E757" s="15">
        <f>IF(B757=0,0,(B757-D757)/B757)</f>
        <v/>
      </c>
      <c r="F757" s="2">
        <f>E757&gt;='Deal Analyzer'!$B$12</f>
        <v/>
      </c>
      <c r="G757" s="12">
        <f>IF(AND(F757,RAND()&lt;$J$7),'Deal Analyzer'!$B$8-'Deal Analyzer'!$B$10,-('Deal Analyzer'!$B$10+'Deal Analyzer'!$B$9*'Deal Analyzer'!$B$14))</f>
        <v/>
      </c>
      <c r="H757" s="2" t="n"/>
      <c r="I757" s="2" t="n"/>
      <c r="J757" s="2" t="n"/>
      <c r="K757" s="2" t="n"/>
    </row>
    <row r="758">
      <c r="A758" s="2" t="n">
        <v>747</v>
      </c>
      <c r="B758" s="12">
        <f>MAX(0,'Deal Analyzer'!$B$4*(1+NORM.INV(RAND(),0,$J$4)))</f>
        <v/>
      </c>
      <c r="C758" s="12">
        <f>'Deal Analyzer'!$B$5*MAX(0.9,1+NORM.INV(RAND(),$J$5,$J$6))</f>
        <v/>
      </c>
      <c r="D758" s="12">
        <f>'Deal Analyzer'!$B$24+C758+B758*'Deal Analyzer'!$B$11</f>
        <v/>
      </c>
      <c r="E758" s="15">
        <f>IF(B758=0,0,(B758-D758)/B758)</f>
        <v/>
      </c>
      <c r="F758" s="2">
        <f>E758&gt;='Deal Analyzer'!$B$12</f>
        <v/>
      </c>
      <c r="G758" s="12">
        <f>IF(AND(F758,RAND()&lt;$J$7),'Deal Analyzer'!$B$8-'Deal Analyzer'!$B$10,-('Deal Analyzer'!$B$10+'Deal Analyzer'!$B$9*'Deal Analyzer'!$B$14))</f>
        <v/>
      </c>
      <c r="H758" s="2" t="n"/>
      <c r="I758" s="2" t="n"/>
      <c r="J758" s="2" t="n"/>
      <c r="K758" s="2" t="n"/>
    </row>
    <row r="759">
      <c r="A759" s="2" t="n">
        <v>748</v>
      </c>
      <c r="B759" s="12">
        <f>MAX(0,'Deal Analyzer'!$B$4*(1+NORM.INV(RAND(),0,$J$4)))</f>
        <v/>
      </c>
      <c r="C759" s="12">
        <f>'Deal Analyzer'!$B$5*MAX(0.9,1+NORM.INV(RAND(),$J$5,$J$6))</f>
        <v/>
      </c>
      <c r="D759" s="12">
        <f>'Deal Analyzer'!$B$24+C759+B759*'Deal Analyzer'!$B$11</f>
        <v/>
      </c>
      <c r="E759" s="15">
        <f>IF(B759=0,0,(B759-D759)/B759)</f>
        <v/>
      </c>
      <c r="F759" s="2">
        <f>E759&gt;='Deal Analyzer'!$B$12</f>
        <v/>
      </c>
      <c r="G759" s="12">
        <f>IF(AND(F759,RAND()&lt;$J$7),'Deal Analyzer'!$B$8-'Deal Analyzer'!$B$10,-('Deal Analyzer'!$B$10+'Deal Analyzer'!$B$9*'Deal Analyzer'!$B$14))</f>
        <v/>
      </c>
      <c r="H759" s="2" t="n"/>
      <c r="I759" s="2" t="n"/>
      <c r="J759" s="2" t="n"/>
      <c r="K759" s="2" t="n"/>
    </row>
    <row r="760">
      <c r="A760" s="2" t="n">
        <v>749</v>
      </c>
      <c r="B760" s="12">
        <f>MAX(0,'Deal Analyzer'!$B$4*(1+NORM.INV(RAND(),0,$J$4)))</f>
        <v/>
      </c>
      <c r="C760" s="12">
        <f>'Deal Analyzer'!$B$5*MAX(0.9,1+NORM.INV(RAND(),$J$5,$J$6))</f>
        <v/>
      </c>
      <c r="D760" s="12">
        <f>'Deal Analyzer'!$B$24+C760+B760*'Deal Analyzer'!$B$11</f>
        <v/>
      </c>
      <c r="E760" s="15">
        <f>IF(B760=0,0,(B760-D760)/B760)</f>
        <v/>
      </c>
      <c r="F760" s="2">
        <f>E760&gt;='Deal Analyzer'!$B$12</f>
        <v/>
      </c>
      <c r="G760" s="12">
        <f>IF(AND(F760,RAND()&lt;$J$7),'Deal Analyzer'!$B$8-'Deal Analyzer'!$B$10,-('Deal Analyzer'!$B$10+'Deal Analyzer'!$B$9*'Deal Analyzer'!$B$14))</f>
        <v/>
      </c>
      <c r="H760" s="2" t="n"/>
      <c r="I760" s="2" t="n"/>
      <c r="J760" s="2" t="n"/>
      <c r="K760" s="2" t="n"/>
    </row>
    <row r="761">
      <c r="A761" s="2" t="n">
        <v>750</v>
      </c>
      <c r="B761" s="12">
        <f>MAX(0,'Deal Analyzer'!$B$4*(1+NORM.INV(RAND(),0,$J$4)))</f>
        <v/>
      </c>
      <c r="C761" s="12">
        <f>'Deal Analyzer'!$B$5*MAX(0.9,1+NORM.INV(RAND(),$J$5,$J$6))</f>
        <v/>
      </c>
      <c r="D761" s="12">
        <f>'Deal Analyzer'!$B$24+C761+B761*'Deal Analyzer'!$B$11</f>
        <v/>
      </c>
      <c r="E761" s="15">
        <f>IF(B761=0,0,(B761-D761)/B761)</f>
        <v/>
      </c>
      <c r="F761" s="2">
        <f>E761&gt;='Deal Analyzer'!$B$12</f>
        <v/>
      </c>
      <c r="G761" s="12">
        <f>IF(AND(F761,RAND()&lt;$J$7),'Deal Analyzer'!$B$8-'Deal Analyzer'!$B$10,-('Deal Analyzer'!$B$10+'Deal Analyzer'!$B$9*'Deal Analyzer'!$B$14))</f>
        <v/>
      </c>
      <c r="H761" s="2" t="n"/>
      <c r="I761" s="2" t="n"/>
      <c r="J761" s="2" t="n"/>
      <c r="K761" s="2" t="n"/>
    </row>
    <row r="762">
      <c r="A762" s="2" t="n">
        <v>751</v>
      </c>
      <c r="B762" s="12">
        <f>MAX(0,'Deal Analyzer'!$B$4*(1+NORM.INV(RAND(),0,$J$4)))</f>
        <v/>
      </c>
      <c r="C762" s="12">
        <f>'Deal Analyzer'!$B$5*MAX(0.9,1+NORM.INV(RAND(),$J$5,$J$6))</f>
        <v/>
      </c>
      <c r="D762" s="12">
        <f>'Deal Analyzer'!$B$24+C762+B762*'Deal Analyzer'!$B$11</f>
        <v/>
      </c>
      <c r="E762" s="15">
        <f>IF(B762=0,0,(B762-D762)/B762)</f>
        <v/>
      </c>
      <c r="F762" s="2">
        <f>E762&gt;='Deal Analyzer'!$B$12</f>
        <v/>
      </c>
      <c r="G762" s="12">
        <f>IF(AND(F762,RAND()&lt;$J$7),'Deal Analyzer'!$B$8-'Deal Analyzer'!$B$10,-('Deal Analyzer'!$B$10+'Deal Analyzer'!$B$9*'Deal Analyzer'!$B$14))</f>
        <v/>
      </c>
      <c r="H762" s="2" t="n"/>
      <c r="I762" s="2" t="n"/>
      <c r="J762" s="2" t="n"/>
      <c r="K762" s="2" t="n"/>
    </row>
    <row r="763">
      <c r="A763" s="2" t="n">
        <v>752</v>
      </c>
      <c r="B763" s="12">
        <f>MAX(0,'Deal Analyzer'!$B$4*(1+NORM.INV(RAND(),0,$J$4)))</f>
        <v/>
      </c>
      <c r="C763" s="12">
        <f>'Deal Analyzer'!$B$5*MAX(0.9,1+NORM.INV(RAND(),$J$5,$J$6))</f>
        <v/>
      </c>
      <c r="D763" s="12">
        <f>'Deal Analyzer'!$B$24+C763+B763*'Deal Analyzer'!$B$11</f>
        <v/>
      </c>
      <c r="E763" s="15">
        <f>IF(B763=0,0,(B763-D763)/B763)</f>
        <v/>
      </c>
      <c r="F763" s="2">
        <f>E763&gt;='Deal Analyzer'!$B$12</f>
        <v/>
      </c>
      <c r="G763" s="12">
        <f>IF(AND(F763,RAND()&lt;$J$7),'Deal Analyzer'!$B$8-'Deal Analyzer'!$B$10,-('Deal Analyzer'!$B$10+'Deal Analyzer'!$B$9*'Deal Analyzer'!$B$14))</f>
        <v/>
      </c>
      <c r="H763" s="2" t="n"/>
      <c r="I763" s="2" t="n"/>
      <c r="J763" s="2" t="n"/>
      <c r="K763" s="2" t="n"/>
    </row>
    <row r="764">
      <c r="A764" s="2" t="n">
        <v>753</v>
      </c>
      <c r="B764" s="12">
        <f>MAX(0,'Deal Analyzer'!$B$4*(1+NORM.INV(RAND(),0,$J$4)))</f>
        <v/>
      </c>
      <c r="C764" s="12">
        <f>'Deal Analyzer'!$B$5*MAX(0.9,1+NORM.INV(RAND(),$J$5,$J$6))</f>
        <v/>
      </c>
      <c r="D764" s="12">
        <f>'Deal Analyzer'!$B$24+C764+B764*'Deal Analyzer'!$B$11</f>
        <v/>
      </c>
      <c r="E764" s="15">
        <f>IF(B764=0,0,(B764-D764)/B764)</f>
        <v/>
      </c>
      <c r="F764" s="2">
        <f>E764&gt;='Deal Analyzer'!$B$12</f>
        <v/>
      </c>
      <c r="G764" s="12">
        <f>IF(AND(F764,RAND()&lt;$J$7),'Deal Analyzer'!$B$8-'Deal Analyzer'!$B$10,-('Deal Analyzer'!$B$10+'Deal Analyzer'!$B$9*'Deal Analyzer'!$B$14))</f>
        <v/>
      </c>
      <c r="H764" s="2" t="n"/>
      <c r="I764" s="2" t="n"/>
      <c r="J764" s="2" t="n"/>
      <c r="K764" s="2" t="n"/>
    </row>
    <row r="765">
      <c r="A765" s="2" t="n">
        <v>754</v>
      </c>
      <c r="B765" s="12">
        <f>MAX(0,'Deal Analyzer'!$B$4*(1+NORM.INV(RAND(),0,$J$4)))</f>
        <v/>
      </c>
      <c r="C765" s="12">
        <f>'Deal Analyzer'!$B$5*MAX(0.9,1+NORM.INV(RAND(),$J$5,$J$6))</f>
        <v/>
      </c>
      <c r="D765" s="12">
        <f>'Deal Analyzer'!$B$24+C765+B765*'Deal Analyzer'!$B$11</f>
        <v/>
      </c>
      <c r="E765" s="15">
        <f>IF(B765=0,0,(B765-D765)/B765)</f>
        <v/>
      </c>
      <c r="F765" s="2">
        <f>E765&gt;='Deal Analyzer'!$B$12</f>
        <v/>
      </c>
      <c r="G765" s="12">
        <f>IF(AND(F765,RAND()&lt;$J$7),'Deal Analyzer'!$B$8-'Deal Analyzer'!$B$10,-('Deal Analyzer'!$B$10+'Deal Analyzer'!$B$9*'Deal Analyzer'!$B$14))</f>
        <v/>
      </c>
      <c r="H765" s="2" t="n"/>
      <c r="I765" s="2" t="n"/>
      <c r="J765" s="2" t="n"/>
      <c r="K765" s="2" t="n"/>
    </row>
    <row r="766">
      <c r="A766" s="2" t="n">
        <v>755</v>
      </c>
      <c r="B766" s="12">
        <f>MAX(0,'Deal Analyzer'!$B$4*(1+NORM.INV(RAND(),0,$J$4)))</f>
        <v/>
      </c>
      <c r="C766" s="12">
        <f>'Deal Analyzer'!$B$5*MAX(0.9,1+NORM.INV(RAND(),$J$5,$J$6))</f>
        <v/>
      </c>
      <c r="D766" s="12">
        <f>'Deal Analyzer'!$B$24+C766+B766*'Deal Analyzer'!$B$11</f>
        <v/>
      </c>
      <c r="E766" s="15">
        <f>IF(B766=0,0,(B766-D766)/B766)</f>
        <v/>
      </c>
      <c r="F766" s="2">
        <f>E766&gt;='Deal Analyzer'!$B$12</f>
        <v/>
      </c>
      <c r="G766" s="12">
        <f>IF(AND(F766,RAND()&lt;$J$7),'Deal Analyzer'!$B$8-'Deal Analyzer'!$B$10,-('Deal Analyzer'!$B$10+'Deal Analyzer'!$B$9*'Deal Analyzer'!$B$14))</f>
        <v/>
      </c>
      <c r="H766" s="2" t="n"/>
      <c r="I766" s="2" t="n"/>
      <c r="J766" s="2" t="n"/>
      <c r="K766" s="2" t="n"/>
    </row>
    <row r="767">
      <c r="A767" s="2" t="n">
        <v>756</v>
      </c>
      <c r="B767" s="12">
        <f>MAX(0,'Deal Analyzer'!$B$4*(1+NORM.INV(RAND(),0,$J$4)))</f>
        <v/>
      </c>
      <c r="C767" s="12">
        <f>'Deal Analyzer'!$B$5*MAX(0.9,1+NORM.INV(RAND(),$J$5,$J$6))</f>
        <v/>
      </c>
      <c r="D767" s="12">
        <f>'Deal Analyzer'!$B$24+C767+B767*'Deal Analyzer'!$B$11</f>
        <v/>
      </c>
      <c r="E767" s="15">
        <f>IF(B767=0,0,(B767-D767)/B767)</f>
        <v/>
      </c>
      <c r="F767" s="2">
        <f>E767&gt;='Deal Analyzer'!$B$12</f>
        <v/>
      </c>
      <c r="G767" s="12">
        <f>IF(AND(F767,RAND()&lt;$J$7),'Deal Analyzer'!$B$8-'Deal Analyzer'!$B$10,-('Deal Analyzer'!$B$10+'Deal Analyzer'!$B$9*'Deal Analyzer'!$B$14))</f>
        <v/>
      </c>
      <c r="H767" s="2" t="n"/>
      <c r="I767" s="2" t="n"/>
      <c r="J767" s="2" t="n"/>
      <c r="K767" s="2" t="n"/>
    </row>
    <row r="768">
      <c r="A768" s="2" t="n">
        <v>757</v>
      </c>
      <c r="B768" s="12">
        <f>MAX(0,'Deal Analyzer'!$B$4*(1+NORM.INV(RAND(),0,$J$4)))</f>
        <v/>
      </c>
      <c r="C768" s="12">
        <f>'Deal Analyzer'!$B$5*MAX(0.9,1+NORM.INV(RAND(),$J$5,$J$6))</f>
        <v/>
      </c>
      <c r="D768" s="12">
        <f>'Deal Analyzer'!$B$24+C768+B768*'Deal Analyzer'!$B$11</f>
        <v/>
      </c>
      <c r="E768" s="15">
        <f>IF(B768=0,0,(B768-D768)/B768)</f>
        <v/>
      </c>
      <c r="F768" s="2">
        <f>E768&gt;='Deal Analyzer'!$B$12</f>
        <v/>
      </c>
      <c r="G768" s="12">
        <f>IF(AND(F768,RAND()&lt;$J$7),'Deal Analyzer'!$B$8-'Deal Analyzer'!$B$10,-('Deal Analyzer'!$B$10+'Deal Analyzer'!$B$9*'Deal Analyzer'!$B$14))</f>
        <v/>
      </c>
      <c r="H768" s="2" t="n"/>
      <c r="I768" s="2" t="n"/>
      <c r="J768" s="2" t="n"/>
      <c r="K768" s="2" t="n"/>
    </row>
    <row r="769">
      <c r="A769" s="2" t="n">
        <v>758</v>
      </c>
      <c r="B769" s="12">
        <f>MAX(0,'Deal Analyzer'!$B$4*(1+NORM.INV(RAND(),0,$J$4)))</f>
        <v/>
      </c>
      <c r="C769" s="12">
        <f>'Deal Analyzer'!$B$5*MAX(0.9,1+NORM.INV(RAND(),$J$5,$J$6))</f>
        <v/>
      </c>
      <c r="D769" s="12">
        <f>'Deal Analyzer'!$B$24+C769+B769*'Deal Analyzer'!$B$11</f>
        <v/>
      </c>
      <c r="E769" s="15">
        <f>IF(B769=0,0,(B769-D769)/B769)</f>
        <v/>
      </c>
      <c r="F769" s="2">
        <f>E769&gt;='Deal Analyzer'!$B$12</f>
        <v/>
      </c>
      <c r="G769" s="12">
        <f>IF(AND(F769,RAND()&lt;$J$7),'Deal Analyzer'!$B$8-'Deal Analyzer'!$B$10,-('Deal Analyzer'!$B$10+'Deal Analyzer'!$B$9*'Deal Analyzer'!$B$14))</f>
        <v/>
      </c>
      <c r="H769" s="2" t="n"/>
      <c r="I769" s="2" t="n"/>
      <c r="J769" s="2" t="n"/>
      <c r="K769" s="2" t="n"/>
    </row>
    <row r="770">
      <c r="A770" s="2" t="n">
        <v>759</v>
      </c>
      <c r="B770" s="12">
        <f>MAX(0,'Deal Analyzer'!$B$4*(1+NORM.INV(RAND(),0,$J$4)))</f>
        <v/>
      </c>
      <c r="C770" s="12">
        <f>'Deal Analyzer'!$B$5*MAX(0.9,1+NORM.INV(RAND(),$J$5,$J$6))</f>
        <v/>
      </c>
      <c r="D770" s="12">
        <f>'Deal Analyzer'!$B$24+C770+B770*'Deal Analyzer'!$B$11</f>
        <v/>
      </c>
      <c r="E770" s="15">
        <f>IF(B770=0,0,(B770-D770)/B770)</f>
        <v/>
      </c>
      <c r="F770" s="2">
        <f>E770&gt;='Deal Analyzer'!$B$12</f>
        <v/>
      </c>
      <c r="G770" s="12">
        <f>IF(AND(F770,RAND()&lt;$J$7),'Deal Analyzer'!$B$8-'Deal Analyzer'!$B$10,-('Deal Analyzer'!$B$10+'Deal Analyzer'!$B$9*'Deal Analyzer'!$B$14))</f>
        <v/>
      </c>
      <c r="H770" s="2" t="n"/>
      <c r="I770" s="2" t="n"/>
      <c r="J770" s="2" t="n"/>
      <c r="K770" s="2" t="n"/>
    </row>
    <row r="771">
      <c r="A771" s="2" t="n">
        <v>760</v>
      </c>
      <c r="B771" s="12">
        <f>MAX(0,'Deal Analyzer'!$B$4*(1+NORM.INV(RAND(),0,$J$4)))</f>
        <v/>
      </c>
      <c r="C771" s="12">
        <f>'Deal Analyzer'!$B$5*MAX(0.9,1+NORM.INV(RAND(),$J$5,$J$6))</f>
        <v/>
      </c>
      <c r="D771" s="12">
        <f>'Deal Analyzer'!$B$24+C771+B771*'Deal Analyzer'!$B$11</f>
        <v/>
      </c>
      <c r="E771" s="15">
        <f>IF(B771=0,0,(B771-D771)/B771)</f>
        <v/>
      </c>
      <c r="F771" s="2">
        <f>E771&gt;='Deal Analyzer'!$B$12</f>
        <v/>
      </c>
      <c r="G771" s="12">
        <f>IF(AND(F771,RAND()&lt;$J$7),'Deal Analyzer'!$B$8-'Deal Analyzer'!$B$10,-('Deal Analyzer'!$B$10+'Deal Analyzer'!$B$9*'Deal Analyzer'!$B$14))</f>
        <v/>
      </c>
      <c r="H771" s="2" t="n"/>
      <c r="I771" s="2" t="n"/>
      <c r="J771" s="2" t="n"/>
      <c r="K771" s="2" t="n"/>
    </row>
    <row r="772">
      <c r="A772" s="2" t="n">
        <v>761</v>
      </c>
      <c r="B772" s="12">
        <f>MAX(0,'Deal Analyzer'!$B$4*(1+NORM.INV(RAND(),0,$J$4)))</f>
        <v/>
      </c>
      <c r="C772" s="12">
        <f>'Deal Analyzer'!$B$5*MAX(0.9,1+NORM.INV(RAND(),$J$5,$J$6))</f>
        <v/>
      </c>
      <c r="D772" s="12">
        <f>'Deal Analyzer'!$B$24+C772+B772*'Deal Analyzer'!$B$11</f>
        <v/>
      </c>
      <c r="E772" s="15">
        <f>IF(B772=0,0,(B772-D772)/B772)</f>
        <v/>
      </c>
      <c r="F772" s="2">
        <f>E772&gt;='Deal Analyzer'!$B$12</f>
        <v/>
      </c>
      <c r="G772" s="12">
        <f>IF(AND(F772,RAND()&lt;$J$7),'Deal Analyzer'!$B$8-'Deal Analyzer'!$B$10,-('Deal Analyzer'!$B$10+'Deal Analyzer'!$B$9*'Deal Analyzer'!$B$14))</f>
        <v/>
      </c>
      <c r="H772" s="2" t="n"/>
      <c r="I772" s="2" t="n"/>
      <c r="J772" s="2" t="n"/>
      <c r="K772" s="2" t="n"/>
    </row>
    <row r="773">
      <c r="A773" s="2" t="n">
        <v>762</v>
      </c>
      <c r="B773" s="12">
        <f>MAX(0,'Deal Analyzer'!$B$4*(1+NORM.INV(RAND(),0,$J$4)))</f>
        <v/>
      </c>
      <c r="C773" s="12">
        <f>'Deal Analyzer'!$B$5*MAX(0.9,1+NORM.INV(RAND(),$J$5,$J$6))</f>
        <v/>
      </c>
      <c r="D773" s="12">
        <f>'Deal Analyzer'!$B$24+C773+B773*'Deal Analyzer'!$B$11</f>
        <v/>
      </c>
      <c r="E773" s="15">
        <f>IF(B773=0,0,(B773-D773)/B773)</f>
        <v/>
      </c>
      <c r="F773" s="2">
        <f>E773&gt;='Deal Analyzer'!$B$12</f>
        <v/>
      </c>
      <c r="G773" s="12">
        <f>IF(AND(F773,RAND()&lt;$J$7),'Deal Analyzer'!$B$8-'Deal Analyzer'!$B$10,-('Deal Analyzer'!$B$10+'Deal Analyzer'!$B$9*'Deal Analyzer'!$B$14))</f>
        <v/>
      </c>
      <c r="H773" s="2" t="n"/>
      <c r="I773" s="2" t="n"/>
      <c r="J773" s="2" t="n"/>
      <c r="K773" s="2" t="n"/>
    </row>
    <row r="774">
      <c r="A774" s="2" t="n">
        <v>763</v>
      </c>
      <c r="B774" s="12">
        <f>MAX(0,'Deal Analyzer'!$B$4*(1+NORM.INV(RAND(),0,$J$4)))</f>
        <v/>
      </c>
      <c r="C774" s="12">
        <f>'Deal Analyzer'!$B$5*MAX(0.9,1+NORM.INV(RAND(),$J$5,$J$6))</f>
        <v/>
      </c>
      <c r="D774" s="12">
        <f>'Deal Analyzer'!$B$24+C774+B774*'Deal Analyzer'!$B$11</f>
        <v/>
      </c>
      <c r="E774" s="15">
        <f>IF(B774=0,0,(B774-D774)/B774)</f>
        <v/>
      </c>
      <c r="F774" s="2">
        <f>E774&gt;='Deal Analyzer'!$B$12</f>
        <v/>
      </c>
      <c r="G774" s="12">
        <f>IF(AND(F774,RAND()&lt;$J$7),'Deal Analyzer'!$B$8-'Deal Analyzer'!$B$10,-('Deal Analyzer'!$B$10+'Deal Analyzer'!$B$9*'Deal Analyzer'!$B$14))</f>
        <v/>
      </c>
      <c r="H774" s="2" t="n"/>
      <c r="I774" s="2" t="n"/>
      <c r="J774" s="2" t="n"/>
      <c r="K774" s="2" t="n"/>
    </row>
    <row r="775">
      <c r="A775" s="2" t="n">
        <v>764</v>
      </c>
      <c r="B775" s="12">
        <f>MAX(0,'Deal Analyzer'!$B$4*(1+NORM.INV(RAND(),0,$J$4)))</f>
        <v/>
      </c>
      <c r="C775" s="12">
        <f>'Deal Analyzer'!$B$5*MAX(0.9,1+NORM.INV(RAND(),$J$5,$J$6))</f>
        <v/>
      </c>
      <c r="D775" s="12">
        <f>'Deal Analyzer'!$B$24+C775+B775*'Deal Analyzer'!$B$11</f>
        <v/>
      </c>
      <c r="E775" s="15">
        <f>IF(B775=0,0,(B775-D775)/B775)</f>
        <v/>
      </c>
      <c r="F775" s="2">
        <f>E775&gt;='Deal Analyzer'!$B$12</f>
        <v/>
      </c>
      <c r="G775" s="12">
        <f>IF(AND(F775,RAND()&lt;$J$7),'Deal Analyzer'!$B$8-'Deal Analyzer'!$B$10,-('Deal Analyzer'!$B$10+'Deal Analyzer'!$B$9*'Deal Analyzer'!$B$14))</f>
        <v/>
      </c>
      <c r="H775" s="2" t="n"/>
      <c r="I775" s="2" t="n"/>
      <c r="J775" s="2" t="n"/>
      <c r="K775" s="2" t="n"/>
    </row>
    <row r="776">
      <c r="A776" s="2" t="n">
        <v>765</v>
      </c>
      <c r="B776" s="12">
        <f>MAX(0,'Deal Analyzer'!$B$4*(1+NORM.INV(RAND(),0,$J$4)))</f>
        <v/>
      </c>
      <c r="C776" s="12">
        <f>'Deal Analyzer'!$B$5*MAX(0.9,1+NORM.INV(RAND(),$J$5,$J$6))</f>
        <v/>
      </c>
      <c r="D776" s="12">
        <f>'Deal Analyzer'!$B$24+C776+B776*'Deal Analyzer'!$B$11</f>
        <v/>
      </c>
      <c r="E776" s="15">
        <f>IF(B776=0,0,(B776-D776)/B776)</f>
        <v/>
      </c>
      <c r="F776" s="2">
        <f>E776&gt;='Deal Analyzer'!$B$12</f>
        <v/>
      </c>
      <c r="G776" s="12">
        <f>IF(AND(F776,RAND()&lt;$J$7),'Deal Analyzer'!$B$8-'Deal Analyzer'!$B$10,-('Deal Analyzer'!$B$10+'Deal Analyzer'!$B$9*'Deal Analyzer'!$B$14))</f>
        <v/>
      </c>
      <c r="H776" s="2" t="n"/>
      <c r="I776" s="2" t="n"/>
      <c r="J776" s="2" t="n"/>
      <c r="K776" s="2" t="n"/>
    </row>
    <row r="777">
      <c r="A777" s="2" t="n">
        <v>766</v>
      </c>
      <c r="B777" s="12">
        <f>MAX(0,'Deal Analyzer'!$B$4*(1+NORM.INV(RAND(),0,$J$4)))</f>
        <v/>
      </c>
      <c r="C777" s="12">
        <f>'Deal Analyzer'!$B$5*MAX(0.9,1+NORM.INV(RAND(),$J$5,$J$6))</f>
        <v/>
      </c>
      <c r="D777" s="12">
        <f>'Deal Analyzer'!$B$24+C777+B777*'Deal Analyzer'!$B$11</f>
        <v/>
      </c>
      <c r="E777" s="15">
        <f>IF(B777=0,0,(B777-D777)/B777)</f>
        <v/>
      </c>
      <c r="F777" s="2">
        <f>E777&gt;='Deal Analyzer'!$B$12</f>
        <v/>
      </c>
      <c r="G777" s="12">
        <f>IF(AND(F777,RAND()&lt;$J$7),'Deal Analyzer'!$B$8-'Deal Analyzer'!$B$10,-('Deal Analyzer'!$B$10+'Deal Analyzer'!$B$9*'Deal Analyzer'!$B$14))</f>
        <v/>
      </c>
      <c r="H777" s="2" t="n"/>
      <c r="I777" s="2" t="n"/>
      <c r="J777" s="2" t="n"/>
      <c r="K777" s="2" t="n"/>
    </row>
    <row r="778">
      <c r="A778" s="2" t="n">
        <v>767</v>
      </c>
      <c r="B778" s="12">
        <f>MAX(0,'Deal Analyzer'!$B$4*(1+NORM.INV(RAND(),0,$J$4)))</f>
        <v/>
      </c>
      <c r="C778" s="12">
        <f>'Deal Analyzer'!$B$5*MAX(0.9,1+NORM.INV(RAND(),$J$5,$J$6))</f>
        <v/>
      </c>
      <c r="D778" s="12">
        <f>'Deal Analyzer'!$B$24+C778+B778*'Deal Analyzer'!$B$11</f>
        <v/>
      </c>
      <c r="E778" s="15">
        <f>IF(B778=0,0,(B778-D778)/B778)</f>
        <v/>
      </c>
      <c r="F778" s="2">
        <f>E778&gt;='Deal Analyzer'!$B$12</f>
        <v/>
      </c>
      <c r="G778" s="12">
        <f>IF(AND(F778,RAND()&lt;$J$7),'Deal Analyzer'!$B$8-'Deal Analyzer'!$B$10,-('Deal Analyzer'!$B$10+'Deal Analyzer'!$B$9*'Deal Analyzer'!$B$14))</f>
        <v/>
      </c>
      <c r="H778" s="2" t="n"/>
      <c r="I778" s="2" t="n"/>
      <c r="J778" s="2" t="n"/>
      <c r="K778" s="2" t="n"/>
    </row>
    <row r="779">
      <c r="A779" s="2" t="n">
        <v>768</v>
      </c>
      <c r="B779" s="12">
        <f>MAX(0,'Deal Analyzer'!$B$4*(1+NORM.INV(RAND(),0,$J$4)))</f>
        <v/>
      </c>
      <c r="C779" s="12">
        <f>'Deal Analyzer'!$B$5*MAX(0.9,1+NORM.INV(RAND(),$J$5,$J$6))</f>
        <v/>
      </c>
      <c r="D779" s="12">
        <f>'Deal Analyzer'!$B$24+C779+B779*'Deal Analyzer'!$B$11</f>
        <v/>
      </c>
      <c r="E779" s="15">
        <f>IF(B779=0,0,(B779-D779)/B779)</f>
        <v/>
      </c>
      <c r="F779" s="2">
        <f>E779&gt;='Deal Analyzer'!$B$12</f>
        <v/>
      </c>
      <c r="G779" s="12">
        <f>IF(AND(F779,RAND()&lt;$J$7),'Deal Analyzer'!$B$8-'Deal Analyzer'!$B$10,-('Deal Analyzer'!$B$10+'Deal Analyzer'!$B$9*'Deal Analyzer'!$B$14))</f>
        <v/>
      </c>
      <c r="H779" s="2" t="n"/>
      <c r="I779" s="2" t="n"/>
      <c r="J779" s="2" t="n"/>
      <c r="K779" s="2" t="n"/>
    </row>
    <row r="780">
      <c r="A780" s="2" t="n">
        <v>769</v>
      </c>
      <c r="B780" s="12">
        <f>MAX(0,'Deal Analyzer'!$B$4*(1+NORM.INV(RAND(),0,$J$4)))</f>
        <v/>
      </c>
      <c r="C780" s="12">
        <f>'Deal Analyzer'!$B$5*MAX(0.9,1+NORM.INV(RAND(),$J$5,$J$6))</f>
        <v/>
      </c>
      <c r="D780" s="12">
        <f>'Deal Analyzer'!$B$24+C780+B780*'Deal Analyzer'!$B$11</f>
        <v/>
      </c>
      <c r="E780" s="15">
        <f>IF(B780=0,0,(B780-D780)/B780)</f>
        <v/>
      </c>
      <c r="F780" s="2">
        <f>E780&gt;='Deal Analyzer'!$B$12</f>
        <v/>
      </c>
      <c r="G780" s="12">
        <f>IF(AND(F780,RAND()&lt;$J$7),'Deal Analyzer'!$B$8-'Deal Analyzer'!$B$10,-('Deal Analyzer'!$B$10+'Deal Analyzer'!$B$9*'Deal Analyzer'!$B$14))</f>
        <v/>
      </c>
      <c r="H780" s="2" t="n"/>
      <c r="I780" s="2" t="n"/>
      <c r="J780" s="2" t="n"/>
      <c r="K780" s="2" t="n"/>
    </row>
    <row r="781">
      <c r="A781" s="2" t="n">
        <v>770</v>
      </c>
      <c r="B781" s="12">
        <f>MAX(0,'Deal Analyzer'!$B$4*(1+NORM.INV(RAND(),0,$J$4)))</f>
        <v/>
      </c>
      <c r="C781" s="12">
        <f>'Deal Analyzer'!$B$5*MAX(0.9,1+NORM.INV(RAND(),$J$5,$J$6))</f>
        <v/>
      </c>
      <c r="D781" s="12">
        <f>'Deal Analyzer'!$B$24+C781+B781*'Deal Analyzer'!$B$11</f>
        <v/>
      </c>
      <c r="E781" s="15">
        <f>IF(B781=0,0,(B781-D781)/B781)</f>
        <v/>
      </c>
      <c r="F781" s="2">
        <f>E781&gt;='Deal Analyzer'!$B$12</f>
        <v/>
      </c>
      <c r="G781" s="12">
        <f>IF(AND(F781,RAND()&lt;$J$7),'Deal Analyzer'!$B$8-'Deal Analyzer'!$B$10,-('Deal Analyzer'!$B$10+'Deal Analyzer'!$B$9*'Deal Analyzer'!$B$14))</f>
        <v/>
      </c>
      <c r="H781" s="2" t="n"/>
      <c r="I781" s="2" t="n"/>
      <c r="J781" s="2" t="n"/>
      <c r="K781" s="2" t="n"/>
    </row>
    <row r="782">
      <c r="A782" s="2" t="n">
        <v>771</v>
      </c>
      <c r="B782" s="12">
        <f>MAX(0,'Deal Analyzer'!$B$4*(1+NORM.INV(RAND(),0,$J$4)))</f>
        <v/>
      </c>
      <c r="C782" s="12">
        <f>'Deal Analyzer'!$B$5*MAX(0.9,1+NORM.INV(RAND(),$J$5,$J$6))</f>
        <v/>
      </c>
      <c r="D782" s="12">
        <f>'Deal Analyzer'!$B$24+C782+B782*'Deal Analyzer'!$B$11</f>
        <v/>
      </c>
      <c r="E782" s="15">
        <f>IF(B782=0,0,(B782-D782)/B782)</f>
        <v/>
      </c>
      <c r="F782" s="2">
        <f>E782&gt;='Deal Analyzer'!$B$12</f>
        <v/>
      </c>
      <c r="G782" s="12">
        <f>IF(AND(F782,RAND()&lt;$J$7),'Deal Analyzer'!$B$8-'Deal Analyzer'!$B$10,-('Deal Analyzer'!$B$10+'Deal Analyzer'!$B$9*'Deal Analyzer'!$B$14))</f>
        <v/>
      </c>
      <c r="H782" s="2" t="n"/>
      <c r="I782" s="2" t="n"/>
      <c r="J782" s="2" t="n"/>
      <c r="K782" s="2" t="n"/>
    </row>
    <row r="783">
      <c r="A783" s="2" t="n">
        <v>772</v>
      </c>
      <c r="B783" s="12">
        <f>MAX(0,'Deal Analyzer'!$B$4*(1+NORM.INV(RAND(),0,$J$4)))</f>
        <v/>
      </c>
      <c r="C783" s="12">
        <f>'Deal Analyzer'!$B$5*MAX(0.9,1+NORM.INV(RAND(),$J$5,$J$6))</f>
        <v/>
      </c>
      <c r="D783" s="12">
        <f>'Deal Analyzer'!$B$24+C783+B783*'Deal Analyzer'!$B$11</f>
        <v/>
      </c>
      <c r="E783" s="15">
        <f>IF(B783=0,0,(B783-D783)/B783)</f>
        <v/>
      </c>
      <c r="F783" s="2">
        <f>E783&gt;='Deal Analyzer'!$B$12</f>
        <v/>
      </c>
      <c r="G783" s="12">
        <f>IF(AND(F783,RAND()&lt;$J$7),'Deal Analyzer'!$B$8-'Deal Analyzer'!$B$10,-('Deal Analyzer'!$B$10+'Deal Analyzer'!$B$9*'Deal Analyzer'!$B$14))</f>
        <v/>
      </c>
      <c r="H783" s="2" t="n"/>
      <c r="I783" s="2" t="n"/>
      <c r="J783" s="2" t="n"/>
      <c r="K783" s="2" t="n"/>
    </row>
    <row r="784">
      <c r="A784" s="2" t="n">
        <v>773</v>
      </c>
      <c r="B784" s="12">
        <f>MAX(0,'Deal Analyzer'!$B$4*(1+NORM.INV(RAND(),0,$J$4)))</f>
        <v/>
      </c>
      <c r="C784" s="12">
        <f>'Deal Analyzer'!$B$5*MAX(0.9,1+NORM.INV(RAND(),$J$5,$J$6))</f>
        <v/>
      </c>
      <c r="D784" s="12">
        <f>'Deal Analyzer'!$B$24+C784+B784*'Deal Analyzer'!$B$11</f>
        <v/>
      </c>
      <c r="E784" s="15">
        <f>IF(B784=0,0,(B784-D784)/B784)</f>
        <v/>
      </c>
      <c r="F784" s="2">
        <f>E784&gt;='Deal Analyzer'!$B$12</f>
        <v/>
      </c>
      <c r="G784" s="12">
        <f>IF(AND(F784,RAND()&lt;$J$7),'Deal Analyzer'!$B$8-'Deal Analyzer'!$B$10,-('Deal Analyzer'!$B$10+'Deal Analyzer'!$B$9*'Deal Analyzer'!$B$14))</f>
        <v/>
      </c>
      <c r="H784" s="2" t="n"/>
      <c r="I784" s="2" t="n"/>
      <c r="J784" s="2" t="n"/>
      <c r="K784" s="2" t="n"/>
    </row>
    <row r="785">
      <c r="A785" s="2" t="n">
        <v>774</v>
      </c>
      <c r="B785" s="12">
        <f>MAX(0,'Deal Analyzer'!$B$4*(1+NORM.INV(RAND(),0,$J$4)))</f>
        <v/>
      </c>
      <c r="C785" s="12">
        <f>'Deal Analyzer'!$B$5*MAX(0.9,1+NORM.INV(RAND(),$J$5,$J$6))</f>
        <v/>
      </c>
      <c r="D785" s="12">
        <f>'Deal Analyzer'!$B$24+C785+B785*'Deal Analyzer'!$B$11</f>
        <v/>
      </c>
      <c r="E785" s="15">
        <f>IF(B785=0,0,(B785-D785)/B785)</f>
        <v/>
      </c>
      <c r="F785" s="2">
        <f>E785&gt;='Deal Analyzer'!$B$12</f>
        <v/>
      </c>
      <c r="G785" s="12">
        <f>IF(AND(F785,RAND()&lt;$J$7),'Deal Analyzer'!$B$8-'Deal Analyzer'!$B$10,-('Deal Analyzer'!$B$10+'Deal Analyzer'!$B$9*'Deal Analyzer'!$B$14))</f>
        <v/>
      </c>
      <c r="H785" s="2" t="n"/>
      <c r="I785" s="2" t="n"/>
      <c r="J785" s="2" t="n"/>
      <c r="K785" s="2" t="n"/>
    </row>
    <row r="786">
      <c r="A786" s="2" t="n">
        <v>775</v>
      </c>
      <c r="B786" s="12">
        <f>MAX(0,'Deal Analyzer'!$B$4*(1+NORM.INV(RAND(),0,$J$4)))</f>
        <v/>
      </c>
      <c r="C786" s="12">
        <f>'Deal Analyzer'!$B$5*MAX(0.9,1+NORM.INV(RAND(),$J$5,$J$6))</f>
        <v/>
      </c>
      <c r="D786" s="12">
        <f>'Deal Analyzer'!$B$24+C786+B786*'Deal Analyzer'!$B$11</f>
        <v/>
      </c>
      <c r="E786" s="15">
        <f>IF(B786=0,0,(B786-D786)/B786)</f>
        <v/>
      </c>
      <c r="F786" s="2">
        <f>E786&gt;='Deal Analyzer'!$B$12</f>
        <v/>
      </c>
      <c r="G786" s="12">
        <f>IF(AND(F786,RAND()&lt;$J$7),'Deal Analyzer'!$B$8-'Deal Analyzer'!$B$10,-('Deal Analyzer'!$B$10+'Deal Analyzer'!$B$9*'Deal Analyzer'!$B$14))</f>
        <v/>
      </c>
      <c r="H786" s="2" t="n"/>
      <c r="I786" s="2" t="n"/>
      <c r="J786" s="2" t="n"/>
      <c r="K786" s="2" t="n"/>
    </row>
    <row r="787">
      <c r="A787" s="2" t="n">
        <v>776</v>
      </c>
      <c r="B787" s="12">
        <f>MAX(0,'Deal Analyzer'!$B$4*(1+NORM.INV(RAND(),0,$J$4)))</f>
        <v/>
      </c>
      <c r="C787" s="12">
        <f>'Deal Analyzer'!$B$5*MAX(0.9,1+NORM.INV(RAND(),$J$5,$J$6))</f>
        <v/>
      </c>
      <c r="D787" s="12">
        <f>'Deal Analyzer'!$B$24+C787+B787*'Deal Analyzer'!$B$11</f>
        <v/>
      </c>
      <c r="E787" s="15">
        <f>IF(B787=0,0,(B787-D787)/B787)</f>
        <v/>
      </c>
      <c r="F787" s="2">
        <f>E787&gt;='Deal Analyzer'!$B$12</f>
        <v/>
      </c>
      <c r="G787" s="12">
        <f>IF(AND(F787,RAND()&lt;$J$7),'Deal Analyzer'!$B$8-'Deal Analyzer'!$B$10,-('Deal Analyzer'!$B$10+'Deal Analyzer'!$B$9*'Deal Analyzer'!$B$14))</f>
        <v/>
      </c>
      <c r="H787" s="2" t="n"/>
      <c r="I787" s="2" t="n"/>
      <c r="J787" s="2" t="n"/>
      <c r="K787" s="2" t="n"/>
    </row>
    <row r="788">
      <c r="A788" s="2" t="n">
        <v>777</v>
      </c>
      <c r="B788" s="12">
        <f>MAX(0,'Deal Analyzer'!$B$4*(1+NORM.INV(RAND(),0,$J$4)))</f>
        <v/>
      </c>
      <c r="C788" s="12">
        <f>'Deal Analyzer'!$B$5*MAX(0.9,1+NORM.INV(RAND(),$J$5,$J$6))</f>
        <v/>
      </c>
      <c r="D788" s="12">
        <f>'Deal Analyzer'!$B$24+C788+B788*'Deal Analyzer'!$B$11</f>
        <v/>
      </c>
      <c r="E788" s="15">
        <f>IF(B788=0,0,(B788-D788)/B788)</f>
        <v/>
      </c>
      <c r="F788" s="2">
        <f>E788&gt;='Deal Analyzer'!$B$12</f>
        <v/>
      </c>
      <c r="G788" s="12">
        <f>IF(AND(F788,RAND()&lt;$J$7),'Deal Analyzer'!$B$8-'Deal Analyzer'!$B$10,-('Deal Analyzer'!$B$10+'Deal Analyzer'!$B$9*'Deal Analyzer'!$B$14))</f>
        <v/>
      </c>
      <c r="H788" s="2" t="n"/>
      <c r="I788" s="2" t="n"/>
      <c r="J788" s="2" t="n"/>
      <c r="K788" s="2" t="n"/>
    </row>
    <row r="789">
      <c r="A789" s="2" t="n">
        <v>778</v>
      </c>
      <c r="B789" s="12">
        <f>MAX(0,'Deal Analyzer'!$B$4*(1+NORM.INV(RAND(),0,$J$4)))</f>
        <v/>
      </c>
      <c r="C789" s="12">
        <f>'Deal Analyzer'!$B$5*MAX(0.9,1+NORM.INV(RAND(),$J$5,$J$6))</f>
        <v/>
      </c>
      <c r="D789" s="12">
        <f>'Deal Analyzer'!$B$24+C789+B789*'Deal Analyzer'!$B$11</f>
        <v/>
      </c>
      <c r="E789" s="15">
        <f>IF(B789=0,0,(B789-D789)/B789)</f>
        <v/>
      </c>
      <c r="F789" s="2">
        <f>E789&gt;='Deal Analyzer'!$B$12</f>
        <v/>
      </c>
      <c r="G789" s="12">
        <f>IF(AND(F789,RAND()&lt;$J$7),'Deal Analyzer'!$B$8-'Deal Analyzer'!$B$10,-('Deal Analyzer'!$B$10+'Deal Analyzer'!$B$9*'Deal Analyzer'!$B$14))</f>
        <v/>
      </c>
      <c r="H789" s="2" t="n"/>
      <c r="I789" s="2" t="n"/>
      <c r="J789" s="2" t="n"/>
      <c r="K789" s="2" t="n"/>
    </row>
    <row r="790">
      <c r="A790" s="2" t="n">
        <v>779</v>
      </c>
      <c r="B790" s="12">
        <f>MAX(0,'Deal Analyzer'!$B$4*(1+NORM.INV(RAND(),0,$J$4)))</f>
        <v/>
      </c>
      <c r="C790" s="12">
        <f>'Deal Analyzer'!$B$5*MAX(0.9,1+NORM.INV(RAND(),$J$5,$J$6))</f>
        <v/>
      </c>
      <c r="D790" s="12">
        <f>'Deal Analyzer'!$B$24+C790+B790*'Deal Analyzer'!$B$11</f>
        <v/>
      </c>
      <c r="E790" s="15">
        <f>IF(B790=0,0,(B790-D790)/B790)</f>
        <v/>
      </c>
      <c r="F790" s="2">
        <f>E790&gt;='Deal Analyzer'!$B$12</f>
        <v/>
      </c>
      <c r="G790" s="12">
        <f>IF(AND(F790,RAND()&lt;$J$7),'Deal Analyzer'!$B$8-'Deal Analyzer'!$B$10,-('Deal Analyzer'!$B$10+'Deal Analyzer'!$B$9*'Deal Analyzer'!$B$14))</f>
        <v/>
      </c>
      <c r="H790" s="2" t="n"/>
      <c r="I790" s="2" t="n"/>
      <c r="J790" s="2" t="n"/>
      <c r="K790" s="2" t="n"/>
    </row>
    <row r="791">
      <c r="A791" s="2" t="n">
        <v>780</v>
      </c>
      <c r="B791" s="12">
        <f>MAX(0,'Deal Analyzer'!$B$4*(1+NORM.INV(RAND(),0,$J$4)))</f>
        <v/>
      </c>
      <c r="C791" s="12">
        <f>'Deal Analyzer'!$B$5*MAX(0.9,1+NORM.INV(RAND(),$J$5,$J$6))</f>
        <v/>
      </c>
      <c r="D791" s="12">
        <f>'Deal Analyzer'!$B$24+C791+B791*'Deal Analyzer'!$B$11</f>
        <v/>
      </c>
      <c r="E791" s="15">
        <f>IF(B791=0,0,(B791-D791)/B791)</f>
        <v/>
      </c>
      <c r="F791" s="2">
        <f>E791&gt;='Deal Analyzer'!$B$12</f>
        <v/>
      </c>
      <c r="G791" s="12">
        <f>IF(AND(F791,RAND()&lt;$J$7),'Deal Analyzer'!$B$8-'Deal Analyzer'!$B$10,-('Deal Analyzer'!$B$10+'Deal Analyzer'!$B$9*'Deal Analyzer'!$B$14))</f>
        <v/>
      </c>
      <c r="H791" s="2" t="n"/>
      <c r="I791" s="2" t="n"/>
      <c r="J791" s="2" t="n"/>
      <c r="K791" s="2" t="n"/>
    </row>
    <row r="792">
      <c r="A792" s="2" t="n">
        <v>781</v>
      </c>
      <c r="B792" s="12">
        <f>MAX(0,'Deal Analyzer'!$B$4*(1+NORM.INV(RAND(),0,$J$4)))</f>
        <v/>
      </c>
      <c r="C792" s="12">
        <f>'Deal Analyzer'!$B$5*MAX(0.9,1+NORM.INV(RAND(),$J$5,$J$6))</f>
        <v/>
      </c>
      <c r="D792" s="12">
        <f>'Deal Analyzer'!$B$24+C792+B792*'Deal Analyzer'!$B$11</f>
        <v/>
      </c>
      <c r="E792" s="15">
        <f>IF(B792=0,0,(B792-D792)/B792)</f>
        <v/>
      </c>
      <c r="F792" s="2">
        <f>E792&gt;='Deal Analyzer'!$B$12</f>
        <v/>
      </c>
      <c r="G792" s="12">
        <f>IF(AND(F792,RAND()&lt;$J$7),'Deal Analyzer'!$B$8-'Deal Analyzer'!$B$10,-('Deal Analyzer'!$B$10+'Deal Analyzer'!$B$9*'Deal Analyzer'!$B$14))</f>
        <v/>
      </c>
      <c r="H792" s="2" t="n"/>
      <c r="I792" s="2" t="n"/>
      <c r="J792" s="2" t="n"/>
      <c r="K792" s="2" t="n"/>
    </row>
    <row r="793">
      <c r="A793" s="2" t="n">
        <v>782</v>
      </c>
      <c r="B793" s="12">
        <f>MAX(0,'Deal Analyzer'!$B$4*(1+NORM.INV(RAND(),0,$J$4)))</f>
        <v/>
      </c>
      <c r="C793" s="12">
        <f>'Deal Analyzer'!$B$5*MAX(0.9,1+NORM.INV(RAND(),$J$5,$J$6))</f>
        <v/>
      </c>
      <c r="D793" s="12">
        <f>'Deal Analyzer'!$B$24+C793+B793*'Deal Analyzer'!$B$11</f>
        <v/>
      </c>
      <c r="E793" s="15">
        <f>IF(B793=0,0,(B793-D793)/B793)</f>
        <v/>
      </c>
      <c r="F793" s="2">
        <f>E793&gt;='Deal Analyzer'!$B$12</f>
        <v/>
      </c>
      <c r="G793" s="12">
        <f>IF(AND(F793,RAND()&lt;$J$7),'Deal Analyzer'!$B$8-'Deal Analyzer'!$B$10,-('Deal Analyzer'!$B$10+'Deal Analyzer'!$B$9*'Deal Analyzer'!$B$14))</f>
        <v/>
      </c>
      <c r="H793" s="2" t="n"/>
      <c r="I793" s="2" t="n"/>
      <c r="J793" s="2" t="n"/>
      <c r="K793" s="2" t="n"/>
    </row>
    <row r="794">
      <c r="A794" s="2" t="n">
        <v>783</v>
      </c>
      <c r="B794" s="12">
        <f>MAX(0,'Deal Analyzer'!$B$4*(1+NORM.INV(RAND(),0,$J$4)))</f>
        <v/>
      </c>
      <c r="C794" s="12">
        <f>'Deal Analyzer'!$B$5*MAX(0.9,1+NORM.INV(RAND(),$J$5,$J$6))</f>
        <v/>
      </c>
      <c r="D794" s="12">
        <f>'Deal Analyzer'!$B$24+C794+B794*'Deal Analyzer'!$B$11</f>
        <v/>
      </c>
      <c r="E794" s="15">
        <f>IF(B794=0,0,(B794-D794)/B794)</f>
        <v/>
      </c>
      <c r="F794" s="2">
        <f>E794&gt;='Deal Analyzer'!$B$12</f>
        <v/>
      </c>
      <c r="G794" s="12">
        <f>IF(AND(F794,RAND()&lt;$J$7),'Deal Analyzer'!$B$8-'Deal Analyzer'!$B$10,-('Deal Analyzer'!$B$10+'Deal Analyzer'!$B$9*'Deal Analyzer'!$B$14))</f>
        <v/>
      </c>
      <c r="H794" s="2" t="n"/>
      <c r="I794" s="2" t="n"/>
      <c r="J794" s="2" t="n"/>
      <c r="K794" s="2" t="n"/>
    </row>
    <row r="795">
      <c r="A795" s="2" t="n">
        <v>784</v>
      </c>
      <c r="B795" s="12">
        <f>MAX(0,'Deal Analyzer'!$B$4*(1+NORM.INV(RAND(),0,$J$4)))</f>
        <v/>
      </c>
      <c r="C795" s="12">
        <f>'Deal Analyzer'!$B$5*MAX(0.9,1+NORM.INV(RAND(),$J$5,$J$6))</f>
        <v/>
      </c>
      <c r="D795" s="12">
        <f>'Deal Analyzer'!$B$24+C795+B795*'Deal Analyzer'!$B$11</f>
        <v/>
      </c>
      <c r="E795" s="15">
        <f>IF(B795=0,0,(B795-D795)/B795)</f>
        <v/>
      </c>
      <c r="F795" s="2">
        <f>E795&gt;='Deal Analyzer'!$B$12</f>
        <v/>
      </c>
      <c r="G795" s="12">
        <f>IF(AND(F795,RAND()&lt;$J$7),'Deal Analyzer'!$B$8-'Deal Analyzer'!$B$10,-('Deal Analyzer'!$B$10+'Deal Analyzer'!$B$9*'Deal Analyzer'!$B$14))</f>
        <v/>
      </c>
      <c r="H795" s="2" t="n"/>
      <c r="I795" s="2" t="n"/>
      <c r="J795" s="2" t="n"/>
      <c r="K795" s="2" t="n"/>
    </row>
    <row r="796">
      <c r="A796" s="2" t="n">
        <v>785</v>
      </c>
      <c r="B796" s="12">
        <f>MAX(0,'Deal Analyzer'!$B$4*(1+NORM.INV(RAND(),0,$J$4)))</f>
        <v/>
      </c>
      <c r="C796" s="12">
        <f>'Deal Analyzer'!$B$5*MAX(0.9,1+NORM.INV(RAND(),$J$5,$J$6))</f>
        <v/>
      </c>
      <c r="D796" s="12">
        <f>'Deal Analyzer'!$B$24+C796+B796*'Deal Analyzer'!$B$11</f>
        <v/>
      </c>
      <c r="E796" s="15">
        <f>IF(B796=0,0,(B796-D796)/B796)</f>
        <v/>
      </c>
      <c r="F796" s="2">
        <f>E796&gt;='Deal Analyzer'!$B$12</f>
        <v/>
      </c>
      <c r="G796" s="12">
        <f>IF(AND(F796,RAND()&lt;$J$7),'Deal Analyzer'!$B$8-'Deal Analyzer'!$B$10,-('Deal Analyzer'!$B$10+'Deal Analyzer'!$B$9*'Deal Analyzer'!$B$14))</f>
        <v/>
      </c>
      <c r="H796" s="2" t="n"/>
      <c r="I796" s="2" t="n"/>
      <c r="J796" s="2" t="n"/>
      <c r="K796" s="2" t="n"/>
    </row>
    <row r="797">
      <c r="A797" s="2" t="n">
        <v>786</v>
      </c>
      <c r="B797" s="12">
        <f>MAX(0,'Deal Analyzer'!$B$4*(1+NORM.INV(RAND(),0,$J$4)))</f>
        <v/>
      </c>
      <c r="C797" s="12">
        <f>'Deal Analyzer'!$B$5*MAX(0.9,1+NORM.INV(RAND(),$J$5,$J$6))</f>
        <v/>
      </c>
      <c r="D797" s="12">
        <f>'Deal Analyzer'!$B$24+C797+B797*'Deal Analyzer'!$B$11</f>
        <v/>
      </c>
      <c r="E797" s="15">
        <f>IF(B797=0,0,(B797-D797)/B797)</f>
        <v/>
      </c>
      <c r="F797" s="2">
        <f>E797&gt;='Deal Analyzer'!$B$12</f>
        <v/>
      </c>
      <c r="G797" s="12">
        <f>IF(AND(F797,RAND()&lt;$J$7),'Deal Analyzer'!$B$8-'Deal Analyzer'!$B$10,-('Deal Analyzer'!$B$10+'Deal Analyzer'!$B$9*'Deal Analyzer'!$B$14))</f>
        <v/>
      </c>
      <c r="H797" s="2" t="n"/>
      <c r="I797" s="2" t="n"/>
      <c r="J797" s="2" t="n"/>
      <c r="K797" s="2" t="n"/>
    </row>
    <row r="798">
      <c r="A798" s="2" t="n">
        <v>787</v>
      </c>
      <c r="B798" s="12">
        <f>MAX(0,'Deal Analyzer'!$B$4*(1+NORM.INV(RAND(),0,$J$4)))</f>
        <v/>
      </c>
      <c r="C798" s="12">
        <f>'Deal Analyzer'!$B$5*MAX(0.9,1+NORM.INV(RAND(),$J$5,$J$6))</f>
        <v/>
      </c>
      <c r="D798" s="12">
        <f>'Deal Analyzer'!$B$24+C798+B798*'Deal Analyzer'!$B$11</f>
        <v/>
      </c>
      <c r="E798" s="15">
        <f>IF(B798=0,0,(B798-D798)/B798)</f>
        <v/>
      </c>
      <c r="F798" s="2">
        <f>E798&gt;='Deal Analyzer'!$B$12</f>
        <v/>
      </c>
      <c r="G798" s="12">
        <f>IF(AND(F798,RAND()&lt;$J$7),'Deal Analyzer'!$B$8-'Deal Analyzer'!$B$10,-('Deal Analyzer'!$B$10+'Deal Analyzer'!$B$9*'Deal Analyzer'!$B$14))</f>
        <v/>
      </c>
      <c r="H798" s="2" t="n"/>
      <c r="I798" s="2" t="n"/>
      <c r="J798" s="2" t="n"/>
      <c r="K798" s="2" t="n"/>
    </row>
    <row r="799">
      <c r="A799" s="2" t="n">
        <v>788</v>
      </c>
      <c r="B799" s="12">
        <f>MAX(0,'Deal Analyzer'!$B$4*(1+NORM.INV(RAND(),0,$J$4)))</f>
        <v/>
      </c>
      <c r="C799" s="12">
        <f>'Deal Analyzer'!$B$5*MAX(0.9,1+NORM.INV(RAND(),$J$5,$J$6))</f>
        <v/>
      </c>
      <c r="D799" s="12">
        <f>'Deal Analyzer'!$B$24+C799+B799*'Deal Analyzer'!$B$11</f>
        <v/>
      </c>
      <c r="E799" s="15">
        <f>IF(B799=0,0,(B799-D799)/B799)</f>
        <v/>
      </c>
      <c r="F799" s="2">
        <f>E799&gt;='Deal Analyzer'!$B$12</f>
        <v/>
      </c>
      <c r="G799" s="12">
        <f>IF(AND(F799,RAND()&lt;$J$7),'Deal Analyzer'!$B$8-'Deal Analyzer'!$B$10,-('Deal Analyzer'!$B$10+'Deal Analyzer'!$B$9*'Deal Analyzer'!$B$14))</f>
        <v/>
      </c>
      <c r="H799" s="2" t="n"/>
      <c r="I799" s="2" t="n"/>
      <c r="J799" s="2" t="n"/>
      <c r="K799" s="2" t="n"/>
    </row>
    <row r="800">
      <c r="A800" s="2" t="n">
        <v>789</v>
      </c>
      <c r="B800" s="12">
        <f>MAX(0,'Deal Analyzer'!$B$4*(1+NORM.INV(RAND(),0,$J$4)))</f>
        <v/>
      </c>
      <c r="C800" s="12">
        <f>'Deal Analyzer'!$B$5*MAX(0.9,1+NORM.INV(RAND(),$J$5,$J$6))</f>
        <v/>
      </c>
      <c r="D800" s="12">
        <f>'Deal Analyzer'!$B$24+C800+B800*'Deal Analyzer'!$B$11</f>
        <v/>
      </c>
      <c r="E800" s="15">
        <f>IF(B800=0,0,(B800-D800)/B800)</f>
        <v/>
      </c>
      <c r="F800" s="2">
        <f>E800&gt;='Deal Analyzer'!$B$12</f>
        <v/>
      </c>
      <c r="G800" s="12">
        <f>IF(AND(F800,RAND()&lt;$J$7),'Deal Analyzer'!$B$8-'Deal Analyzer'!$B$10,-('Deal Analyzer'!$B$10+'Deal Analyzer'!$B$9*'Deal Analyzer'!$B$14))</f>
        <v/>
      </c>
      <c r="H800" s="2" t="n"/>
      <c r="I800" s="2" t="n"/>
      <c r="J800" s="2" t="n"/>
      <c r="K800" s="2" t="n"/>
    </row>
    <row r="801">
      <c r="A801" s="2" t="n">
        <v>790</v>
      </c>
      <c r="B801" s="12">
        <f>MAX(0,'Deal Analyzer'!$B$4*(1+NORM.INV(RAND(),0,$J$4)))</f>
        <v/>
      </c>
      <c r="C801" s="12">
        <f>'Deal Analyzer'!$B$5*MAX(0.9,1+NORM.INV(RAND(),$J$5,$J$6))</f>
        <v/>
      </c>
      <c r="D801" s="12">
        <f>'Deal Analyzer'!$B$24+C801+B801*'Deal Analyzer'!$B$11</f>
        <v/>
      </c>
      <c r="E801" s="15">
        <f>IF(B801=0,0,(B801-D801)/B801)</f>
        <v/>
      </c>
      <c r="F801" s="2">
        <f>E801&gt;='Deal Analyzer'!$B$12</f>
        <v/>
      </c>
      <c r="G801" s="12">
        <f>IF(AND(F801,RAND()&lt;$J$7),'Deal Analyzer'!$B$8-'Deal Analyzer'!$B$10,-('Deal Analyzer'!$B$10+'Deal Analyzer'!$B$9*'Deal Analyzer'!$B$14))</f>
        <v/>
      </c>
      <c r="H801" s="2" t="n"/>
      <c r="I801" s="2" t="n"/>
      <c r="J801" s="2" t="n"/>
      <c r="K801" s="2" t="n"/>
    </row>
    <row r="802">
      <c r="A802" s="2" t="n">
        <v>791</v>
      </c>
      <c r="B802" s="12">
        <f>MAX(0,'Deal Analyzer'!$B$4*(1+NORM.INV(RAND(),0,$J$4)))</f>
        <v/>
      </c>
      <c r="C802" s="12">
        <f>'Deal Analyzer'!$B$5*MAX(0.9,1+NORM.INV(RAND(),$J$5,$J$6))</f>
        <v/>
      </c>
      <c r="D802" s="12">
        <f>'Deal Analyzer'!$B$24+C802+B802*'Deal Analyzer'!$B$11</f>
        <v/>
      </c>
      <c r="E802" s="15">
        <f>IF(B802=0,0,(B802-D802)/B802)</f>
        <v/>
      </c>
      <c r="F802" s="2">
        <f>E802&gt;='Deal Analyzer'!$B$12</f>
        <v/>
      </c>
      <c r="G802" s="12">
        <f>IF(AND(F802,RAND()&lt;$J$7),'Deal Analyzer'!$B$8-'Deal Analyzer'!$B$10,-('Deal Analyzer'!$B$10+'Deal Analyzer'!$B$9*'Deal Analyzer'!$B$14))</f>
        <v/>
      </c>
      <c r="H802" s="2" t="n"/>
      <c r="I802" s="2" t="n"/>
      <c r="J802" s="2" t="n"/>
      <c r="K802" s="2" t="n"/>
    </row>
    <row r="803">
      <c r="A803" s="2" t="n">
        <v>792</v>
      </c>
      <c r="B803" s="12">
        <f>MAX(0,'Deal Analyzer'!$B$4*(1+NORM.INV(RAND(),0,$J$4)))</f>
        <v/>
      </c>
      <c r="C803" s="12">
        <f>'Deal Analyzer'!$B$5*MAX(0.9,1+NORM.INV(RAND(),$J$5,$J$6))</f>
        <v/>
      </c>
      <c r="D803" s="12">
        <f>'Deal Analyzer'!$B$24+C803+B803*'Deal Analyzer'!$B$11</f>
        <v/>
      </c>
      <c r="E803" s="15">
        <f>IF(B803=0,0,(B803-D803)/B803)</f>
        <v/>
      </c>
      <c r="F803" s="2">
        <f>E803&gt;='Deal Analyzer'!$B$12</f>
        <v/>
      </c>
      <c r="G803" s="12">
        <f>IF(AND(F803,RAND()&lt;$J$7),'Deal Analyzer'!$B$8-'Deal Analyzer'!$B$10,-('Deal Analyzer'!$B$10+'Deal Analyzer'!$B$9*'Deal Analyzer'!$B$14))</f>
        <v/>
      </c>
      <c r="H803" s="2" t="n"/>
      <c r="I803" s="2" t="n"/>
      <c r="J803" s="2" t="n"/>
      <c r="K803" s="2" t="n"/>
    </row>
    <row r="804">
      <c r="A804" s="2" t="n">
        <v>793</v>
      </c>
      <c r="B804" s="12">
        <f>MAX(0,'Deal Analyzer'!$B$4*(1+NORM.INV(RAND(),0,$J$4)))</f>
        <v/>
      </c>
      <c r="C804" s="12">
        <f>'Deal Analyzer'!$B$5*MAX(0.9,1+NORM.INV(RAND(),$J$5,$J$6))</f>
        <v/>
      </c>
      <c r="D804" s="12">
        <f>'Deal Analyzer'!$B$24+C804+B804*'Deal Analyzer'!$B$11</f>
        <v/>
      </c>
      <c r="E804" s="15">
        <f>IF(B804=0,0,(B804-D804)/B804)</f>
        <v/>
      </c>
      <c r="F804" s="2">
        <f>E804&gt;='Deal Analyzer'!$B$12</f>
        <v/>
      </c>
      <c r="G804" s="12">
        <f>IF(AND(F804,RAND()&lt;$J$7),'Deal Analyzer'!$B$8-'Deal Analyzer'!$B$10,-('Deal Analyzer'!$B$10+'Deal Analyzer'!$B$9*'Deal Analyzer'!$B$14))</f>
        <v/>
      </c>
      <c r="H804" s="2" t="n"/>
      <c r="I804" s="2" t="n"/>
      <c r="J804" s="2" t="n"/>
      <c r="K804" s="2" t="n"/>
    </row>
    <row r="805">
      <c r="A805" s="2" t="n">
        <v>794</v>
      </c>
      <c r="B805" s="12">
        <f>MAX(0,'Deal Analyzer'!$B$4*(1+NORM.INV(RAND(),0,$J$4)))</f>
        <v/>
      </c>
      <c r="C805" s="12">
        <f>'Deal Analyzer'!$B$5*MAX(0.9,1+NORM.INV(RAND(),$J$5,$J$6))</f>
        <v/>
      </c>
      <c r="D805" s="12">
        <f>'Deal Analyzer'!$B$24+C805+B805*'Deal Analyzer'!$B$11</f>
        <v/>
      </c>
      <c r="E805" s="15">
        <f>IF(B805=0,0,(B805-D805)/B805)</f>
        <v/>
      </c>
      <c r="F805" s="2">
        <f>E805&gt;='Deal Analyzer'!$B$12</f>
        <v/>
      </c>
      <c r="G805" s="12">
        <f>IF(AND(F805,RAND()&lt;$J$7),'Deal Analyzer'!$B$8-'Deal Analyzer'!$B$10,-('Deal Analyzer'!$B$10+'Deal Analyzer'!$B$9*'Deal Analyzer'!$B$14))</f>
        <v/>
      </c>
      <c r="H805" s="2" t="n"/>
      <c r="I805" s="2" t="n"/>
      <c r="J805" s="2" t="n"/>
      <c r="K805" s="2" t="n"/>
    </row>
    <row r="806">
      <c r="A806" s="2" t="n">
        <v>795</v>
      </c>
      <c r="B806" s="12">
        <f>MAX(0,'Deal Analyzer'!$B$4*(1+NORM.INV(RAND(),0,$J$4)))</f>
        <v/>
      </c>
      <c r="C806" s="12">
        <f>'Deal Analyzer'!$B$5*MAX(0.9,1+NORM.INV(RAND(),$J$5,$J$6))</f>
        <v/>
      </c>
      <c r="D806" s="12">
        <f>'Deal Analyzer'!$B$24+C806+B806*'Deal Analyzer'!$B$11</f>
        <v/>
      </c>
      <c r="E806" s="15">
        <f>IF(B806=0,0,(B806-D806)/B806)</f>
        <v/>
      </c>
      <c r="F806" s="2">
        <f>E806&gt;='Deal Analyzer'!$B$12</f>
        <v/>
      </c>
      <c r="G806" s="12">
        <f>IF(AND(F806,RAND()&lt;$J$7),'Deal Analyzer'!$B$8-'Deal Analyzer'!$B$10,-('Deal Analyzer'!$B$10+'Deal Analyzer'!$B$9*'Deal Analyzer'!$B$14))</f>
        <v/>
      </c>
      <c r="H806" s="2" t="n"/>
      <c r="I806" s="2" t="n"/>
      <c r="J806" s="2" t="n"/>
      <c r="K806" s="2" t="n"/>
    </row>
    <row r="807">
      <c r="A807" s="2" t="n">
        <v>796</v>
      </c>
      <c r="B807" s="12">
        <f>MAX(0,'Deal Analyzer'!$B$4*(1+NORM.INV(RAND(),0,$J$4)))</f>
        <v/>
      </c>
      <c r="C807" s="12">
        <f>'Deal Analyzer'!$B$5*MAX(0.9,1+NORM.INV(RAND(),$J$5,$J$6))</f>
        <v/>
      </c>
      <c r="D807" s="12">
        <f>'Deal Analyzer'!$B$24+C807+B807*'Deal Analyzer'!$B$11</f>
        <v/>
      </c>
      <c r="E807" s="15">
        <f>IF(B807=0,0,(B807-D807)/B807)</f>
        <v/>
      </c>
      <c r="F807" s="2">
        <f>E807&gt;='Deal Analyzer'!$B$12</f>
        <v/>
      </c>
      <c r="G807" s="12">
        <f>IF(AND(F807,RAND()&lt;$J$7),'Deal Analyzer'!$B$8-'Deal Analyzer'!$B$10,-('Deal Analyzer'!$B$10+'Deal Analyzer'!$B$9*'Deal Analyzer'!$B$14))</f>
        <v/>
      </c>
      <c r="H807" s="2" t="n"/>
      <c r="I807" s="2" t="n"/>
      <c r="J807" s="2" t="n"/>
      <c r="K807" s="2" t="n"/>
    </row>
    <row r="808">
      <c r="A808" s="2" t="n">
        <v>797</v>
      </c>
      <c r="B808" s="12">
        <f>MAX(0,'Deal Analyzer'!$B$4*(1+NORM.INV(RAND(),0,$J$4)))</f>
        <v/>
      </c>
      <c r="C808" s="12">
        <f>'Deal Analyzer'!$B$5*MAX(0.9,1+NORM.INV(RAND(),$J$5,$J$6))</f>
        <v/>
      </c>
      <c r="D808" s="12">
        <f>'Deal Analyzer'!$B$24+C808+B808*'Deal Analyzer'!$B$11</f>
        <v/>
      </c>
      <c r="E808" s="15">
        <f>IF(B808=0,0,(B808-D808)/B808)</f>
        <v/>
      </c>
      <c r="F808" s="2">
        <f>E808&gt;='Deal Analyzer'!$B$12</f>
        <v/>
      </c>
      <c r="G808" s="12">
        <f>IF(AND(F808,RAND()&lt;$J$7),'Deal Analyzer'!$B$8-'Deal Analyzer'!$B$10,-('Deal Analyzer'!$B$10+'Deal Analyzer'!$B$9*'Deal Analyzer'!$B$14))</f>
        <v/>
      </c>
      <c r="H808" s="2" t="n"/>
      <c r="I808" s="2" t="n"/>
      <c r="J808" s="2" t="n"/>
      <c r="K808" s="2" t="n"/>
    </row>
    <row r="809">
      <c r="A809" s="2" t="n">
        <v>798</v>
      </c>
      <c r="B809" s="12">
        <f>MAX(0,'Deal Analyzer'!$B$4*(1+NORM.INV(RAND(),0,$J$4)))</f>
        <v/>
      </c>
      <c r="C809" s="12">
        <f>'Deal Analyzer'!$B$5*MAX(0.9,1+NORM.INV(RAND(),$J$5,$J$6))</f>
        <v/>
      </c>
      <c r="D809" s="12">
        <f>'Deal Analyzer'!$B$24+C809+B809*'Deal Analyzer'!$B$11</f>
        <v/>
      </c>
      <c r="E809" s="15">
        <f>IF(B809=0,0,(B809-D809)/B809)</f>
        <v/>
      </c>
      <c r="F809" s="2">
        <f>E809&gt;='Deal Analyzer'!$B$12</f>
        <v/>
      </c>
      <c r="G809" s="12">
        <f>IF(AND(F809,RAND()&lt;$J$7),'Deal Analyzer'!$B$8-'Deal Analyzer'!$B$10,-('Deal Analyzer'!$B$10+'Deal Analyzer'!$B$9*'Deal Analyzer'!$B$14))</f>
        <v/>
      </c>
      <c r="H809" s="2" t="n"/>
      <c r="I809" s="2" t="n"/>
      <c r="J809" s="2" t="n"/>
      <c r="K809" s="2" t="n"/>
    </row>
    <row r="810">
      <c r="A810" s="2" t="n">
        <v>799</v>
      </c>
      <c r="B810" s="12">
        <f>MAX(0,'Deal Analyzer'!$B$4*(1+NORM.INV(RAND(),0,$J$4)))</f>
        <v/>
      </c>
      <c r="C810" s="12">
        <f>'Deal Analyzer'!$B$5*MAX(0.9,1+NORM.INV(RAND(),$J$5,$J$6))</f>
        <v/>
      </c>
      <c r="D810" s="12">
        <f>'Deal Analyzer'!$B$24+C810+B810*'Deal Analyzer'!$B$11</f>
        <v/>
      </c>
      <c r="E810" s="15">
        <f>IF(B810=0,0,(B810-D810)/B810)</f>
        <v/>
      </c>
      <c r="F810" s="2">
        <f>E810&gt;='Deal Analyzer'!$B$12</f>
        <v/>
      </c>
      <c r="G810" s="12">
        <f>IF(AND(F810,RAND()&lt;$J$7),'Deal Analyzer'!$B$8-'Deal Analyzer'!$B$10,-('Deal Analyzer'!$B$10+'Deal Analyzer'!$B$9*'Deal Analyzer'!$B$14))</f>
        <v/>
      </c>
      <c r="H810" s="2" t="n"/>
      <c r="I810" s="2" t="n"/>
      <c r="J810" s="2" t="n"/>
      <c r="K810" s="2" t="n"/>
    </row>
    <row r="811">
      <c r="A811" s="2" t="n">
        <v>800</v>
      </c>
      <c r="B811" s="12">
        <f>MAX(0,'Deal Analyzer'!$B$4*(1+NORM.INV(RAND(),0,$J$4)))</f>
        <v/>
      </c>
      <c r="C811" s="12">
        <f>'Deal Analyzer'!$B$5*MAX(0.9,1+NORM.INV(RAND(),$J$5,$J$6))</f>
        <v/>
      </c>
      <c r="D811" s="12">
        <f>'Deal Analyzer'!$B$24+C811+B811*'Deal Analyzer'!$B$11</f>
        <v/>
      </c>
      <c r="E811" s="15">
        <f>IF(B811=0,0,(B811-D811)/B811)</f>
        <v/>
      </c>
      <c r="F811" s="2">
        <f>E811&gt;='Deal Analyzer'!$B$12</f>
        <v/>
      </c>
      <c r="G811" s="12">
        <f>IF(AND(F811,RAND()&lt;$J$7),'Deal Analyzer'!$B$8-'Deal Analyzer'!$B$10,-('Deal Analyzer'!$B$10+'Deal Analyzer'!$B$9*'Deal Analyzer'!$B$14))</f>
        <v/>
      </c>
      <c r="H811" s="2" t="n"/>
      <c r="I811" s="2" t="n"/>
      <c r="J811" s="2" t="n"/>
      <c r="K811" s="2" t="n"/>
    </row>
    <row r="812">
      <c r="A812" s="2" t="n">
        <v>801</v>
      </c>
      <c r="B812" s="12">
        <f>MAX(0,'Deal Analyzer'!$B$4*(1+NORM.INV(RAND(),0,$J$4)))</f>
        <v/>
      </c>
      <c r="C812" s="12">
        <f>'Deal Analyzer'!$B$5*MAX(0.9,1+NORM.INV(RAND(),$J$5,$J$6))</f>
        <v/>
      </c>
      <c r="D812" s="12">
        <f>'Deal Analyzer'!$B$24+C812+B812*'Deal Analyzer'!$B$11</f>
        <v/>
      </c>
      <c r="E812" s="15">
        <f>IF(B812=0,0,(B812-D812)/B812)</f>
        <v/>
      </c>
      <c r="F812" s="2">
        <f>E812&gt;='Deal Analyzer'!$B$12</f>
        <v/>
      </c>
      <c r="G812" s="12">
        <f>IF(AND(F812,RAND()&lt;$J$7),'Deal Analyzer'!$B$8-'Deal Analyzer'!$B$10,-('Deal Analyzer'!$B$10+'Deal Analyzer'!$B$9*'Deal Analyzer'!$B$14))</f>
        <v/>
      </c>
      <c r="H812" s="2" t="n"/>
      <c r="I812" s="2" t="n"/>
      <c r="J812" s="2" t="n"/>
      <c r="K812" s="2" t="n"/>
    </row>
    <row r="813">
      <c r="A813" s="2" t="n">
        <v>802</v>
      </c>
      <c r="B813" s="12">
        <f>MAX(0,'Deal Analyzer'!$B$4*(1+NORM.INV(RAND(),0,$J$4)))</f>
        <v/>
      </c>
      <c r="C813" s="12">
        <f>'Deal Analyzer'!$B$5*MAX(0.9,1+NORM.INV(RAND(),$J$5,$J$6))</f>
        <v/>
      </c>
      <c r="D813" s="12">
        <f>'Deal Analyzer'!$B$24+C813+B813*'Deal Analyzer'!$B$11</f>
        <v/>
      </c>
      <c r="E813" s="15">
        <f>IF(B813=0,0,(B813-D813)/B813)</f>
        <v/>
      </c>
      <c r="F813" s="2">
        <f>E813&gt;='Deal Analyzer'!$B$12</f>
        <v/>
      </c>
      <c r="G813" s="12">
        <f>IF(AND(F813,RAND()&lt;$J$7),'Deal Analyzer'!$B$8-'Deal Analyzer'!$B$10,-('Deal Analyzer'!$B$10+'Deal Analyzer'!$B$9*'Deal Analyzer'!$B$14))</f>
        <v/>
      </c>
      <c r="H813" s="2" t="n"/>
      <c r="I813" s="2" t="n"/>
      <c r="J813" s="2" t="n"/>
      <c r="K813" s="2" t="n"/>
    </row>
    <row r="814">
      <c r="A814" s="2" t="n">
        <v>803</v>
      </c>
      <c r="B814" s="12">
        <f>MAX(0,'Deal Analyzer'!$B$4*(1+NORM.INV(RAND(),0,$J$4)))</f>
        <v/>
      </c>
      <c r="C814" s="12">
        <f>'Deal Analyzer'!$B$5*MAX(0.9,1+NORM.INV(RAND(),$J$5,$J$6))</f>
        <v/>
      </c>
      <c r="D814" s="12">
        <f>'Deal Analyzer'!$B$24+C814+B814*'Deal Analyzer'!$B$11</f>
        <v/>
      </c>
      <c r="E814" s="15">
        <f>IF(B814=0,0,(B814-D814)/B814)</f>
        <v/>
      </c>
      <c r="F814" s="2">
        <f>E814&gt;='Deal Analyzer'!$B$12</f>
        <v/>
      </c>
      <c r="G814" s="12">
        <f>IF(AND(F814,RAND()&lt;$J$7),'Deal Analyzer'!$B$8-'Deal Analyzer'!$B$10,-('Deal Analyzer'!$B$10+'Deal Analyzer'!$B$9*'Deal Analyzer'!$B$14))</f>
        <v/>
      </c>
      <c r="H814" s="2" t="n"/>
      <c r="I814" s="2" t="n"/>
      <c r="J814" s="2" t="n"/>
      <c r="K814" s="2" t="n"/>
    </row>
    <row r="815">
      <c r="A815" s="2" t="n">
        <v>804</v>
      </c>
      <c r="B815" s="12">
        <f>MAX(0,'Deal Analyzer'!$B$4*(1+NORM.INV(RAND(),0,$J$4)))</f>
        <v/>
      </c>
      <c r="C815" s="12">
        <f>'Deal Analyzer'!$B$5*MAX(0.9,1+NORM.INV(RAND(),$J$5,$J$6))</f>
        <v/>
      </c>
      <c r="D815" s="12">
        <f>'Deal Analyzer'!$B$24+C815+B815*'Deal Analyzer'!$B$11</f>
        <v/>
      </c>
      <c r="E815" s="15">
        <f>IF(B815=0,0,(B815-D815)/B815)</f>
        <v/>
      </c>
      <c r="F815" s="2">
        <f>E815&gt;='Deal Analyzer'!$B$12</f>
        <v/>
      </c>
      <c r="G815" s="12">
        <f>IF(AND(F815,RAND()&lt;$J$7),'Deal Analyzer'!$B$8-'Deal Analyzer'!$B$10,-('Deal Analyzer'!$B$10+'Deal Analyzer'!$B$9*'Deal Analyzer'!$B$14))</f>
        <v/>
      </c>
      <c r="H815" s="2" t="n"/>
      <c r="I815" s="2" t="n"/>
      <c r="J815" s="2" t="n"/>
      <c r="K815" s="2" t="n"/>
    </row>
    <row r="816">
      <c r="A816" s="2" t="n">
        <v>805</v>
      </c>
      <c r="B816" s="12">
        <f>MAX(0,'Deal Analyzer'!$B$4*(1+NORM.INV(RAND(),0,$J$4)))</f>
        <v/>
      </c>
      <c r="C816" s="12">
        <f>'Deal Analyzer'!$B$5*MAX(0.9,1+NORM.INV(RAND(),$J$5,$J$6))</f>
        <v/>
      </c>
      <c r="D816" s="12">
        <f>'Deal Analyzer'!$B$24+C816+B816*'Deal Analyzer'!$B$11</f>
        <v/>
      </c>
      <c r="E816" s="15">
        <f>IF(B816=0,0,(B816-D816)/B816)</f>
        <v/>
      </c>
      <c r="F816" s="2">
        <f>E816&gt;='Deal Analyzer'!$B$12</f>
        <v/>
      </c>
      <c r="G816" s="12">
        <f>IF(AND(F816,RAND()&lt;$J$7),'Deal Analyzer'!$B$8-'Deal Analyzer'!$B$10,-('Deal Analyzer'!$B$10+'Deal Analyzer'!$B$9*'Deal Analyzer'!$B$14))</f>
        <v/>
      </c>
      <c r="H816" s="2" t="n"/>
      <c r="I816" s="2" t="n"/>
      <c r="J816" s="2" t="n"/>
      <c r="K816" s="2" t="n"/>
    </row>
    <row r="817">
      <c r="A817" s="2" t="n">
        <v>806</v>
      </c>
      <c r="B817" s="12">
        <f>MAX(0,'Deal Analyzer'!$B$4*(1+NORM.INV(RAND(),0,$J$4)))</f>
        <v/>
      </c>
      <c r="C817" s="12">
        <f>'Deal Analyzer'!$B$5*MAX(0.9,1+NORM.INV(RAND(),$J$5,$J$6))</f>
        <v/>
      </c>
      <c r="D817" s="12">
        <f>'Deal Analyzer'!$B$24+C817+B817*'Deal Analyzer'!$B$11</f>
        <v/>
      </c>
      <c r="E817" s="15">
        <f>IF(B817=0,0,(B817-D817)/B817)</f>
        <v/>
      </c>
      <c r="F817" s="2">
        <f>E817&gt;='Deal Analyzer'!$B$12</f>
        <v/>
      </c>
      <c r="G817" s="12">
        <f>IF(AND(F817,RAND()&lt;$J$7),'Deal Analyzer'!$B$8-'Deal Analyzer'!$B$10,-('Deal Analyzer'!$B$10+'Deal Analyzer'!$B$9*'Deal Analyzer'!$B$14))</f>
        <v/>
      </c>
      <c r="H817" s="2" t="n"/>
      <c r="I817" s="2" t="n"/>
      <c r="J817" s="2" t="n"/>
      <c r="K817" s="2" t="n"/>
    </row>
    <row r="818">
      <c r="A818" s="2" t="n">
        <v>807</v>
      </c>
      <c r="B818" s="12">
        <f>MAX(0,'Deal Analyzer'!$B$4*(1+NORM.INV(RAND(),0,$J$4)))</f>
        <v/>
      </c>
      <c r="C818" s="12">
        <f>'Deal Analyzer'!$B$5*MAX(0.9,1+NORM.INV(RAND(),$J$5,$J$6))</f>
        <v/>
      </c>
      <c r="D818" s="12">
        <f>'Deal Analyzer'!$B$24+C818+B818*'Deal Analyzer'!$B$11</f>
        <v/>
      </c>
      <c r="E818" s="15">
        <f>IF(B818=0,0,(B818-D818)/B818)</f>
        <v/>
      </c>
      <c r="F818" s="2">
        <f>E818&gt;='Deal Analyzer'!$B$12</f>
        <v/>
      </c>
      <c r="G818" s="12">
        <f>IF(AND(F818,RAND()&lt;$J$7),'Deal Analyzer'!$B$8-'Deal Analyzer'!$B$10,-('Deal Analyzer'!$B$10+'Deal Analyzer'!$B$9*'Deal Analyzer'!$B$14))</f>
        <v/>
      </c>
      <c r="H818" s="2" t="n"/>
      <c r="I818" s="2" t="n"/>
      <c r="J818" s="2" t="n"/>
      <c r="K818" s="2" t="n"/>
    </row>
    <row r="819">
      <c r="A819" s="2" t="n">
        <v>808</v>
      </c>
      <c r="B819" s="12">
        <f>MAX(0,'Deal Analyzer'!$B$4*(1+NORM.INV(RAND(),0,$J$4)))</f>
        <v/>
      </c>
      <c r="C819" s="12">
        <f>'Deal Analyzer'!$B$5*MAX(0.9,1+NORM.INV(RAND(),$J$5,$J$6))</f>
        <v/>
      </c>
      <c r="D819" s="12">
        <f>'Deal Analyzer'!$B$24+C819+B819*'Deal Analyzer'!$B$11</f>
        <v/>
      </c>
      <c r="E819" s="15">
        <f>IF(B819=0,0,(B819-D819)/B819)</f>
        <v/>
      </c>
      <c r="F819" s="2">
        <f>E819&gt;='Deal Analyzer'!$B$12</f>
        <v/>
      </c>
      <c r="G819" s="12">
        <f>IF(AND(F819,RAND()&lt;$J$7),'Deal Analyzer'!$B$8-'Deal Analyzer'!$B$10,-('Deal Analyzer'!$B$10+'Deal Analyzer'!$B$9*'Deal Analyzer'!$B$14))</f>
        <v/>
      </c>
      <c r="H819" s="2" t="n"/>
      <c r="I819" s="2" t="n"/>
      <c r="J819" s="2" t="n"/>
      <c r="K819" s="2" t="n"/>
    </row>
    <row r="820">
      <c r="A820" s="2" t="n">
        <v>809</v>
      </c>
      <c r="B820" s="12">
        <f>MAX(0,'Deal Analyzer'!$B$4*(1+NORM.INV(RAND(),0,$J$4)))</f>
        <v/>
      </c>
      <c r="C820" s="12">
        <f>'Deal Analyzer'!$B$5*MAX(0.9,1+NORM.INV(RAND(),$J$5,$J$6))</f>
        <v/>
      </c>
      <c r="D820" s="12">
        <f>'Deal Analyzer'!$B$24+C820+B820*'Deal Analyzer'!$B$11</f>
        <v/>
      </c>
      <c r="E820" s="15">
        <f>IF(B820=0,0,(B820-D820)/B820)</f>
        <v/>
      </c>
      <c r="F820" s="2">
        <f>E820&gt;='Deal Analyzer'!$B$12</f>
        <v/>
      </c>
      <c r="G820" s="12">
        <f>IF(AND(F820,RAND()&lt;$J$7),'Deal Analyzer'!$B$8-'Deal Analyzer'!$B$10,-('Deal Analyzer'!$B$10+'Deal Analyzer'!$B$9*'Deal Analyzer'!$B$14))</f>
        <v/>
      </c>
      <c r="H820" s="2" t="n"/>
      <c r="I820" s="2" t="n"/>
      <c r="J820" s="2" t="n"/>
      <c r="K820" s="2" t="n"/>
    </row>
    <row r="821">
      <c r="A821" s="2" t="n">
        <v>810</v>
      </c>
      <c r="B821" s="12">
        <f>MAX(0,'Deal Analyzer'!$B$4*(1+NORM.INV(RAND(),0,$J$4)))</f>
        <v/>
      </c>
      <c r="C821" s="12">
        <f>'Deal Analyzer'!$B$5*MAX(0.9,1+NORM.INV(RAND(),$J$5,$J$6))</f>
        <v/>
      </c>
      <c r="D821" s="12">
        <f>'Deal Analyzer'!$B$24+C821+B821*'Deal Analyzer'!$B$11</f>
        <v/>
      </c>
      <c r="E821" s="15">
        <f>IF(B821=0,0,(B821-D821)/B821)</f>
        <v/>
      </c>
      <c r="F821" s="2">
        <f>E821&gt;='Deal Analyzer'!$B$12</f>
        <v/>
      </c>
      <c r="G821" s="12">
        <f>IF(AND(F821,RAND()&lt;$J$7),'Deal Analyzer'!$B$8-'Deal Analyzer'!$B$10,-('Deal Analyzer'!$B$10+'Deal Analyzer'!$B$9*'Deal Analyzer'!$B$14))</f>
        <v/>
      </c>
      <c r="H821" s="2" t="n"/>
      <c r="I821" s="2" t="n"/>
      <c r="J821" s="2" t="n"/>
      <c r="K821" s="2" t="n"/>
    </row>
    <row r="822">
      <c r="A822" s="2" t="n">
        <v>811</v>
      </c>
      <c r="B822" s="12">
        <f>MAX(0,'Deal Analyzer'!$B$4*(1+NORM.INV(RAND(),0,$J$4)))</f>
        <v/>
      </c>
      <c r="C822" s="12">
        <f>'Deal Analyzer'!$B$5*MAX(0.9,1+NORM.INV(RAND(),$J$5,$J$6))</f>
        <v/>
      </c>
      <c r="D822" s="12">
        <f>'Deal Analyzer'!$B$24+C822+B822*'Deal Analyzer'!$B$11</f>
        <v/>
      </c>
      <c r="E822" s="15">
        <f>IF(B822=0,0,(B822-D822)/B822)</f>
        <v/>
      </c>
      <c r="F822" s="2">
        <f>E822&gt;='Deal Analyzer'!$B$12</f>
        <v/>
      </c>
      <c r="G822" s="12">
        <f>IF(AND(F822,RAND()&lt;$J$7),'Deal Analyzer'!$B$8-'Deal Analyzer'!$B$10,-('Deal Analyzer'!$B$10+'Deal Analyzer'!$B$9*'Deal Analyzer'!$B$14))</f>
        <v/>
      </c>
      <c r="H822" s="2" t="n"/>
      <c r="I822" s="2" t="n"/>
      <c r="J822" s="2" t="n"/>
      <c r="K822" s="2" t="n"/>
    </row>
    <row r="823">
      <c r="A823" s="2" t="n">
        <v>812</v>
      </c>
      <c r="B823" s="12">
        <f>MAX(0,'Deal Analyzer'!$B$4*(1+NORM.INV(RAND(),0,$J$4)))</f>
        <v/>
      </c>
      <c r="C823" s="12">
        <f>'Deal Analyzer'!$B$5*MAX(0.9,1+NORM.INV(RAND(),$J$5,$J$6))</f>
        <v/>
      </c>
      <c r="D823" s="12">
        <f>'Deal Analyzer'!$B$24+C823+B823*'Deal Analyzer'!$B$11</f>
        <v/>
      </c>
      <c r="E823" s="15">
        <f>IF(B823=0,0,(B823-D823)/B823)</f>
        <v/>
      </c>
      <c r="F823" s="2">
        <f>E823&gt;='Deal Analyzer'!$B$12</f>
        <v/>
      </c>
      <c r="G823" s="12">
        <f>IF(AND(F823,RAND()&lt;$J$7),'Deal Analyzer'!$B$8-'Deal Analyzer'!$B$10,-('Deal Analyzer'!$B$10+'Deal Analyzer'!$B$9*'Deal Analyzer'!$B$14))</f>
        <v/>
      </c>
      <c r="H823" s="2" t="n"/>
      <c r="I823" s="2" t="n"/>
      <c r="J823" s="2" t="n"/>
      <c r="K823" s="2" t="n"/>
    </row>
    <row r="824">
      <c r="A824" s="2" t="n">
        <v>813</v>
      </c>
      <c r="B824" s="12">
        <f>MAX(0,'Deal Analyzer'!$B$4*(1+NORM.INV(RAND(),0,$J$4)))</f>
        <v/>
      </c>
      <c r="C824" s="12">
        <f>'Deal Analyzer'!$B$5*MAX(0.9,1+NORM.INV(RAND(),$J$5,$J$6))</f>
        <v/>
      </c>
      <c r="D824" s="12">
        <f>'Deal Analyzer'!$B$24+C824+B824*'Deal Analyzer'!$B$11</f>
        <v/>
      </c>
      <c r="E824" s="15">
        <f>IF(B824=0,0,(B824-D824)/B824)</f>
        <v/>
      </c>
      <c r="F824" s="2">
        <f>E824&gt;='Deal Analyzer'!$B$12</f>
        <v/>
      </c>
      <c r="G824" s="12">
        <f>IF(AND(F824,RAND()&lt;$J$7),'Deal Analyzer'!$B$8-'Deal Analyzer'!$B$10,-('Deal Analyzer'!$B$10+'Deal Analyzer'!$B$9*'Deal Analyzer'!$B$14))</f>
        <v/>
      </c>
      <c r="H824" s="2" t="n"/>
      <c r="I824" s="2" t="n"/>
      <c r="J824" s="2" t="n"/>
      <c r="K824" s="2" t="n"/>
    </row>
    <row r="825">
      <c r="A825" s="2" t="n">
        <v>814</v>
      </c>
      <c r="B825" s="12">
        <f>MAX(0,'Deal Analyzer'!$B$4*(1+NORM.INV(RAND(),0,$J$4)))</f>
        <v/>
      </c>
      <c r="C825" s="12">
        <f>'Deal Analyzer'!$B$5*MAX(0.9,1+NORM.INV(RAND(),$J$5,$J$6))</f>
        <v/>
      </c>
      <c r="D825" s="12">
        <f>'Deal Analyzer'!$B$24+C825+B825*'Deal Analyzer'!$B$11</f>
        <v/>
      </c>
      <c r="E825" s="15">
        <f>IF(B825=0,0,(B825-D825)/B825)</f>
        <v/>
      </c>
      <c r="F825" s="2">
        <f>E825&gt;='Deal Analyzer'!$B$12</f>
        <v/>
      </c>
      <c r="G825" s="12">
        <f>IF(AND(F825,RAND()&lt;$J$7),'Deal Analyzer'!$B$8-'Deal Analyzer'!$B$10,-('Deal Analyzer'!$B$10+'Deal Analyzer'!$B$9*'Deal Analyzer'!$B$14))</f>
        <v/>
      </c>
      <c r="H825" s="2" t="n"/>
      <c r="I825" s="2" t="n"/>
      <c r="J825" s="2" t="n"/>
      <c r="K825" s="2" t="n"/>
    </row>
    <row r="826">
      <c r="A826" s="2" t="n">
        <v>815</v>
      </c>
      <c r="B826" s="12">
        <f>MAX(0,'Deal Analyzer'!$B$4*(1+NORM.INV(RAND(),0,$J$4)))</f>
        <v/>
      </c>
      <c r="C826" s="12">
        <f>'Deal Analyzer'!$B$5*MAX(0.9,1+NORM.INV(RAND(),$J$5,$J$6))</f>
        <v/>
      </c>
      <c r="D826" s="12">
        <f>'Deal Analyzer'!$B$24+C826+B826*'Deal Analyzer'!$B$11</f>
        <v/>
      </c>
      <c r="E826" s="15">
        <f>IF(B826=0,0,(B826-D826)/B826)</f>
        <v/>
      </c>
      <c r="F826" s="2">
        <f>E826&gt;='Deal Analyzer'!$B$12</f>
        <v/>
      </c>
      <c r="G826" s="12">
        <f>IF(AND(F826,RAND()&lt;$J$7),'Deal Analyzer'!$B$8-'Deal Analyzer'!$B$10,-('Deal Analyzer'!$B$10+'Deal Analyzer'!$B$9*'Deal Analyzer'!$B$14))</f>
        <v/>
      </c>
      <c r="H826" s="2" t="n"/>
      <c r="I826" s="2" t="n"/>
      <c r="J826" s="2" t="n"/>
      <c r="K826" s="2" t="n"/>
    </row>
    <row r="827">
      <c r="A827" s="2" t="n">
        <v>816</v>
      </c>
      <c r="B827" s="12">
        <f>MAX(0,'Deal Analyzer'!$B$4*(1+NORM.INV(RAND(),0,$J$4)))</f>
        <v/>
      </c>
      <c r="C827" s="12">
        <f>'Deal Analyzer'!$B$5*MAX(0.9,1+NORM.INV(RAND(),$J$5,$J$6))</f>
        <v/>
      </c>
      <c r="D827" s="12">
        <f>'Deal Analyzer'!$B$24+C827+B827*'Deal Analyzer'!$B$11</f>
        <v/>
      </c>
      <c r="E827" s="15">
        <f>IF(B827=0,0,(B827-D827)/B827)</f>
        <v/>
      </c>
      <c r="F827" s="2">
        <f>E827&gt;='Deal Analyzer'!$B$12</f>
        <v/>
      </c>
      <c r="G827" s="12">
        <f>IF(AND(F827,RAND()&lt;$J$7),'Deal Analyzer'!$B$8-'Deal Analyzer'!$B$10,-('Deal Analyzer'!$B$10+'Deal Analyzer'!$B$9*'Deal Analyzer'!$B$14))</f>
        <v/>
      </c>
      <c r="H827" s="2" t="n"/>
      <c r="I827" s="2" t="n"/>
      <c r="J827" s="2" t="n"/>
      <c r="K827" s="2" t="n"/>
    </row>
    <row r="828">
      <c r="A828" s="2" t="n">
        <v>817</v>
      </c>
      <c r="B828" s="12">
        <f>MAX(0,'Deal Analyzer'!$B$4*(1+NORM.INV(RAND(),0,$J$4)))</f>
        <v/>
      </c>
      <c r="C828" s="12">
        <f>'Deal Analyzer'!$B$5*MAX(0.9,1+NORM.INV(RAND(),$J$5,$J$6))</f>
        <v/>
      </c>
      <c r="D828" s="12">
        <f>'Deal Analyzer'!$B$24+C828+B828*'Deal Analyzer'!$B$11</f>
        <v/>
      </c>
      <c r="E828" s="15">
        <f>IF(B828=0,0,(B828-D828)/B828)</f>
        <v/>
      </c>
      <c r="F828" s="2">
        <f>E828&gt;='Deal Analyzer'!$B$12</f>
        <v/>
      </c>
      <c r="G828" s="12">
        <f>IF(AND(F828,RAND()&lt;$J$7),'Deal Analyzer'!$B$8-'Deal Analyzer'!$B$10,-('Deal Analyzer'!$B$10+'Deal Analyzer'!$B$9*'Deal Analyzer'!$B$14))</f>
        <v/>
      </c>
      <c r="H828" s="2" t="n"/>
      <c r="I828" s="2" t="n"/>
      <c r="J828" s="2" t="n"/>
      <c r="K828" s="2" t="n"/>
    </row>
    <row r="829">
      <c r="A829" s="2" t="n">
        <v>818</v>
      </c>
      <c r="B829" s="12">
        <f>MAX(0,'Deal Analyzer'!$B$4*(1+NORM.INV(RAND(),0,$J$4)))</f>
        <v/>
      </c>
      <c r="C829" s="12">
        <f>'Deal Analyzer'!$B$5*MAX(0.9,1+NORM.INV(RAND(),$J$5,$J$6))</f>
        <v/>
      </c>
      <c r="D829" s="12">
        <f>'Deal Analyzer'!$B$24+C829+B829*'Deal Analyzer'!$B$11</f>
        <v/>
      </c>
      <c r="E829" s="15">
        <f>IF(B829=0,0,(B829-D829)/B829)</f>
        <v/>
      </c>
      <c r="F829" s="2">
        <f>E829&gt;='Deal Analyzer'!$B$12</f>
        <v/>
      </c>
      <c r="G829" s="12">
        <f>IF(AND(F829,RAND()&lt;$J$7),'Deal Analyzer'!$B$8-'Deal Analyzer'!$B$10,-('Deal Analyzer'!$B$10+'Deal Analyzer'!$B$9*'Deal Analyzer'!$B$14))</f>
        <v/>
      </c>
      <c r="H829" s="2" t="n"/>
      <c r="I829" s="2" t="n"/>
      <c r="J829" s="2" t="n"/>
      <c r="K829" s="2" t="n"/>
    </row>
    <row r="830">
      <c r="A830" s="2" t="n">
        <v>819</v>
      </c>
      <c r="B830" s="12">
        <f>MAX(0,'Deal Analyzer'!$B$4*(1+NORM.INV(RAND(),0,$J$4)))</f>
        <v/>
      </c>
      <c r="C830" s="12">
        <f>'Deal Analyzer'!$B$5*MAX(0.9,1+NORM.INV(RAND(),$J$5,$J$6))</f>
        <v/>
      </c>
      <c r="D830" s="12">
        <f>'Deal Analyzer'!$B$24+C830+B830*'Deal Analyzer'!$B$11</f>
        <v/>
      </c>
      <c r="E830" s="15">
        <f>IF(B830=0,0,(B830-D830)/B830)</f>
        <v/>
      </c>
      <c r="F830" s="2">
        <f>E830&gt;='Deal Analyzer'!$B$12</f>
        <v/>
      </c>
      <c r="G830" s="12">
        <f>IF(AND(F830,RAND()&lt;$J$7),'Deal Analyzer'!$B$8-'Deal Analyzer'!$B$10,-('Deal Analyzer'!$B$10+'Deal Analyzer'!$B$9*'Deal Analyzer'!$B$14))</f>
        <v/>
      </c>
      <c r="H830" s="2" t="n"/>
      <c r="I830" s="2" t="n"/>
      <c r="J830" s="2" t="n"/>
      <c r="K830" s="2" t="n"/>
    </row>
    <row r="831">
      <c r="A831" s="2" t="n">
        <v>820</v>
      </c>
      <c r="B831" s="12">
        <f>MAX(0,'Deal Analyzer'!$B$4*(1+NORM.INV(RAND(),0,$J$4)))</f>
        <v/>
      </c>
      <c r="C831" s="12">
        <f>'Deal Analyzer'!$B$5*MAX(0.9,1+NORM.INV(RAND(),$J$5,$J$6))</f>
        <v/>
      </c>
      <c r="D831" s="12">
        <f>'Deal Analyzer'!$B$24+C831+B831*'Deal Analyzer'!$B$11</f>
        <v/>
      </c>
      <c r="E831" s="15">
        <f>IF(B831=0,0,(B831-D831)/B831)</f>
        <v/>
      </c>
      <c r="F831" s="2">
        <f>E831&gt;='Deal Analyzer'!$B$12</f>
        <v/>
      </c>
      <c r="G831" s="12">
        <f>IF(AND(F831,RAND()&lt;$J$7),'Deal Analyzer'!$B$8-'Deal Analyzer'!$B$10,-('Deal Analyzer'!$B$10+'Deal Analyzer'!$B$9*'Deal Analyzer'!$B$14))</f>
        <v/>
      </c>
      <c r="H831" s="2" t="n"/>
      <c r="I831" s="2" t="n"/>
      <c r="J831" s="2" t="n"/>
      <c r="K831" s="2" t="n"/>
    </row>
    <row r="832">
      <c r="A832" s="2" t="n">
        <v>821</v>
      </c>
      <c r="B832" s="12">
        <f>MAX(0,'Deal Analyzer'!$B$4*(1+NORM.INV(RAND(),0,$J$4)))</f>
        <v/>
      </c>
      <c r="C832" s="12">
        <f>'Deal Analyzer'!$B$5*MAX(0.9,1+NORM.INV(RAND(),$J$5,$J$6))</f>
        <v/>
      </c>
      <c r="D832" s="12">
        <f>'Deal Analyzer'!$B$24+C832+B832*'Deal Analyzer'!$B$11</f>
        <v/>
      </c>
      <c r="E832" s="15">
        <f>IF(B832=0,0,(B832-D832)/B832)</f>
        <v/>
      </c>
      <c r="F832" s="2">
        <f>E832&gt;='Deal Analyzer'!$B$12</f>
        <v/>
      </c>
      <c r="G832" s="12">
        <f>IF(AND(F832,RAND()&lt;$J$7),'Deal Analyzer'!$B$8-'Deal Analyzer'!$B$10,-('Deal Analyzer'!$B$10+'Deal Analyzer'!$B$9*'Deal Analyzer'!$B$14))</f>
        <v/>
      </c>
      <c r="H832" s="2" t="n"/>
      <c r="I832" s="2" t="n"/>
      <c r="J832" s="2" t="n"/>
      <c r="K832" s="2" t="n"/>
    </row>
    <row r="833">
      <c r="A833" s="2" t="n">
        <v>822</v>
      </c>
      <c r="B833" s="12">
        <f>MAX(0,'Deal Analyzer'!$B$4*(1+NORM.INV(RAND(),0,$J$4)))</f>
        <v/>
      </c>
      <c r="C833" s="12">
        <f>'Deal Analyzer'!$B$5*MAX(0.9,1+NORM.INV(RAND(),$J$5,$J$6))</f>
        <v/>
      </c>
      <c r="D833" s="12">
        <f>'Deal Analyzer'!$B$24+C833+B833*'Deal Analyzer'!$B$11</f>
        <v/>
      </c>
      <c r="E833" s="15">
        <f>IF(B833=0,0,(B833-D833)/B833)</f>
        <v/>
      </c>
      <c r="F833" s="2">
        <f>E833&gt;='Deal Analyzer'!$B$12</f>
        <v/>
      </c>
      <c r="G833" s="12">
        <f>IF(AND(F833,RAND()&lt;$J$7),'Deal Analyzer'!$B$8-'Deal Analyzer'!$B$10,-('Deal Analyzer'!$B$10+'Deal Analyzer'!$B$9*'Deal Analyzer'!$B$14))</f>
        <v/>
      </c>
      <c r="H833" s="2" t="n"/>
      <c r="I833" s="2" t="n"/>
      <c r="J833" s="2" t="n"/>
      <c r="K833" s="2" t="n"/>
    </row>
    <row r="834">
      <c r="A834" s="2" t="n">
        <v>823</v>
      </c>
      <c r="B834" s="12">
        <f>MAX(0,'Deal Analyzer'!$B$4*(1+NORM.INV(RAND(),0,$J$4)))</f>
        <v/>
      </c>
      <c r="C834" s="12">
        <f>'Deal Analyzer'!$B$5*MAX(0.9,1+NORM.INV(RAND(),$J$5,$J$6))</f>
        <v/>
      </c>
      <c r="D834" s="12">
        <f>'Deal Analyzer'!$B$24+C834+B834*'Deal Analyzer'!$B$11</f>
        <v/>
      </c>
      <c r="E834" s="15">
        <f>IF(B834=0,0,(B834-D834)/B834)</f>
        <v/>
      </c>
      <c r="F834" s="2">
        <f>E834&gt;='Deal Analyzer'!$B$12</f>
        <v/>
      </c>
      <c r="G834" s="12">
        <f>IF(AND(F834,RAND()&lt;$J$7),'Deal Analyzer'!$B$8-'Deal Analyzer'!$B$10,-('Deal Analyzer'!$B$10+'Deal Analyzer'!$B$9*'Deal Analyzer'!$B$14))</f>
        <v/>
      </c>
      <c r="H834" s="2" t="n"/>
      <c r="I834" s="2" t="n"/>
      <c r="J834" s="2" t="n"/>
      <c r="K834" s="2" t="n"/>
    </row>
    <row r="835">
      <c r="A835" s="2" t="n">
        <v>824</v>
      </c>
      <c r="B835" s="12">
        <f>MAX(0,'Deal Analyzer'!$B$4*(1+NORM.INV(RAND(),0,$J$4)))</f>
        <v/>
      </c>
      <c r="C835" s="12">
        <f>'Deal Analyzer'!$B$5*MAX(0.9,1+NORM.INV(RAND(),$J$5,$J$6))</f>
        <v/>
      </c>
      <c r="D835" s="12">
        <f>'Deal Analyzer'!$B$24+C835+B835*'Deal Analyzer'!$B$11</f>
        <v/>
      </c>
      <c r="E835" s="15">
        <f>IF(B835=0,0,(B835-D835)/B835)</f>
        <v/>
      </c>
      <c r="F835" s="2">
        <f>E835&gt;='Deal Analyzer'!$B$12</f>
        <v/>
      </c>
      <c r="G835" s="12">
        <f>IF(AND(F835,RAND()&lt;$J$7),'Deal Analyzer'!$B$8-'Deal Analyzer'!$B$10,-('Deal Analyzer'!$B$10+'Deal Analyzer'!$B$9*'Deal Analyzer'!$B$14))</f>
        <v/>
      </c>
      <c r="H835" s="2" t="n"/>
      <c r="I835" s="2" t="n"/>
      <c r="J835" s="2" t="n"/>
      <c r="K835" s="2" t="n"/>
    </row>
    <row r="836">
      <c r="A836" s="2" t="n">
        <v>825</v>
      </c>
      <c r="B836" s="12">
        <f>MAX(0,'Deal Analyzer'!$B$4*(1+NORM.INV(RAND(),0,$J$4)))</f>
        <v/>
      </c>
      <c r="C836" s="12">
        <f>'Deal Analyzer'!$B$5*MAX(0.9,1+NORM.INV(RAND(),$J$5,$J$6))</f>
        <v/>
      </c>
      <c r="D836" s="12">
        <f>'Deal Analyzer'!$B$24+C836+B836*'Deal Analyzer'!$B$11</f>
        <v/>
      </c>
      <c r="E836" s="15">
        <f>IF(B836=0,0,(B836-D836)/B836)</f>
        <v/>
      </c>
      <c r="F836" s="2">
        <f>E836&gt;='Deal Analyzer'!$B$12</f>
        <v/>
      </c>
      <c r="G836" s="12">
        <f>IF(AND(F836,RAND()&lt;$J$7),'Deal Analyzer'!$B$8-'Deal Analyzer'!$B$10,-('Deal Analyzer'!$B$10+'Deal Analyzer'!$B$9*'Deal Analyzer'!$B$14))</f>
        <v/>
      </c>
      <c r="H836" s="2" t="n"/>
      <c r="I836" s="2" t="n"/>
      <c r="J836" s="2" t="n"/>
      <c r="K836" s="2" t="n"/>
    </row>
    <row r="837">
      <c r="A837" s="2" t="n">
        <v>826</v>
      </c>
      <c r="B837" s="12">
        <f>MAX(0,'Deal Analyzer'!$B$4*(1+NORM.INV(RAND(),0,$J$4)))</f>
        <v/>
      </c>
      <c r="C837" s="12">
        <f>'Deal Analyzer'!$B$5*MAX(0.9,1+NORM.INV(RAND(),$J$5,$J$6))</f>
        <v/>
      </c>
      <c r="D837" s="12">
        <f>'Deal Analyzer'!$B$24+C837+B837*'Deal Analyzer'!$B$11</f>
        <v/>
      </c>
      <c r="E837" s="15">
        <f>IF(B837=0,0,(B837-D837)/B837)</f>
        <v/>
      </c>
      <c r="F837" s="2">
        <f>E837&gt;='Deal Analyzer'!$B$12</f>
        <v/>
      </c>
      <c r="G837" s="12">
        <f>IF(AND(F837,RAND()&lt;$J$7),'Deal Analyzer'!$B$8-'Deal Analyzer'!$B$10,-('Deal Analyzer'!$B$10+'Deal Analyzer'!$B$9*'Deal Analyzer'!$B$14))</f>
        <v/>
      </c>
      <c r="H837" s="2" t="n"/>
      <c r="I837" s="2" t="n"/>
      <c r="J837" s="2" t="n"/>
      <c r="K837" s="2" t="n"/>
    </row>
    <row r="838">
      <c r="A838" s="2" t="n">
        <v>827</v>
      </c>
      <c r="B838" s="12">
        <f>MAX(0,'Deal Analyzer'!$B$4*(1+NORM.INV(RAND(),0,$J$4)))</f>
        <v/>
      </c>
      <c r="C838" s="12">
        <f>'Deal Analyzer'!$B$5*MAX(0.9,1+NORM.INV(RAND(),$J$5,$J$6))</f>
        <v/>
      </c>
      <c r="D838" s="12">
        <f>'Deal Analyzer'!$B$24+C838+B838*'Deal Analyzer'!$B$11</f>
        <v/>
      </c>
      <c r="E838" s="15">
        <f>IF(B838=0,0,(B838-D838)/B838)</f>
        <v/>
      </c>
      <c r="F838" s="2">
        <f>E838&gt;='Deal Analyzer'!$B$12</f>
        <v/>
      </c>
      <c r="G838" s="12">
        <f>IF(AND(F838,RAND()&lt;$J$7),'Deal Analyzer'!$B$8-'Deal Analyzer'!$B$10,-('Deal Analyzer'!$B$10+'Deal Analyzer'!$B$9*'Deal Analyzer'!$B$14))</f>
        <v/>
      </c>
      <c r="H838" s="2" t="n"/>
      <c r="I838" s="2" t="n"/>
      <c r="J838" s="2" t="n"/>
      <c r="K838" s="2" t="n"/>
    </row>
    <row r="839">
      <c r="A839" s="2" t="n">
        <v>828</v>
      </c>
      <c r="B839" s="12">
        <f>MAX(0,'Deal Analyzer'!$B$4*(1+NORM.INV(RAND(),0,$J$4)))</f>
        <v/>
      </c>
      <c r="C839" s="12">
        <f>'Deal Analyzer'!$B$5*MAX(0.9,1+NORM.INV(RAND(),$J$5,$J$6))</f>
        <v/>
      </c>
      <c r="D839" s="12">
        <f>'Deal Analyzer'!$B$24+C839+B839*'Deal Analyzer'!$B$11</f>
        <v/>
      </c>
      <c r="E839" s="15">
        <f>IF(B839=0,0,(B839-D839)/B839)</f>
        <v/>
      </c>
      <c r="F839" s="2">
        <f>E839&gt;='Deal Analyzer'!$B$12</f>
        <v/>
      </c>
      <c r="G839" s="12">
        <f>IF(AND(F839,RAND()&lt;$J$7),'Deal Analyzer'!$B$8-'Deal Analyzer'!$B$10,-('Deal Analyzer'!$B$10+'Deal Analyzer'!$B$9*'Deal Analyzer'!$B$14))</f>
        <v/>
      </c>
      <c r="H839" s="2" t="n"/>
      <c r="I839" s="2" t="n"/>
      <c r="J839" s="2" t="n"/>
      <c r="K839" s="2" t="n"/>
    </row>
    <row r="840">
      <c r="A840" s="2" t="n">
        <v>829</v>
      </c>
      <c r="B840" s="12">
        <f>MAX(0,'Deal Analyzer'!$B$4*(1+NORM.INV(RAND(),0,$J$4)))</f>
        <v/>
      </c>
      <c r="C840" s="12">
        <f>'Deal Analyzer'!$B$5*MAX(0.9,1+NORM.INV(RAND(),$J$5,$J$6))</f>
        <v/>
      </c>
      <c r="D840" s="12">
        <f>'Deal Analyzer'!$B$24+C840+B840*'Deal Analyzer'!$B$11</f>
        <v/>
      </c>
      <c r="E840" s="15">
        <f>IF(B840=0,0,(B840-D840)/B840)</f>
        <v/>
      </c>
      <c r="F840" s="2">
        <f>E840&gt;='Deal Analyzer'!$B$12</f>
        <v/>
      </c>
      <c r="G840" s="12">
        <f>IF(AND(F840,RAND()&lt;$J$7),'Deal Analyzer'!$B$8-'Deal Analyzer'!$B$10,-('Deal Analyzer'!$B$10+'Deal Analyzer'!$B$9*'Deal Analyzer'!$B$14))</f>
        <v/>
      </c>
      <c r="H840" s="2" t="n"/>
      <c r="I840" s="2" t="n"/>
      <c r="J840" s="2" t="n"/>
      <c r="K840" s="2" t="n"/>
    </row>
    <row r="841">
      <c r="A841" s="2" t="n">
        <v>830</v>
      </c>
      <c r="B841" s="12">
        <f>MAX(0,'Deal Analyzer'!$B$4*(1+NORM.INV(RAND(),0,$J$4)))</f>
        <v/>
      </c>
      <c r="C841" s="12">
        <f>'Deal Analyzer'!$B$5*MAX(0.9,1+NORM.INV(RAND(),$J$5,$J$6))</f>
        <v/>
      </c>
      <c r="D841" s="12">
        <f>'Deal Analyzer'!$B$24+C841+B841*'Deal Analyzer'!$B$11</f>
        <v/>
      </c>
      <c r="E841" s="15">
        <f>IF(B841=0,0,(B841-D841)/B841)</f>
        <v/>
      </c>
      <c r="F841" s="2">
        <f>E841&gt;='Deal Analyzer'!$B$12</f>
        <v/>
      </c>
      <c r="G841" s="12">
        <f>IF(AND(F841,RAND()&lt;$J$7),'Deal Analyzer'!$B$8-'Deal Analyzer'!$B$10,-('Deal Analyzer'!$B$10+'Deal Analyzer'!$B$9*'Deal Analyzer'!$B$14))</f>
        <v/>
      </c>
      <c r="H841" s="2" t="n"/>
      <c r="I841" s="2" t="n"/>
      <c r="J841" s="2" t="n"/>
      <c r="K841" s="2" t="n"/>
    </row>
    <row r="842">
      <c r="A842" s="2" t="n">
        <v>831</v>
      </c>
      <c r="B842" s="12">
        <f>MAX(0,'Deal Analyzer'!$B$4*(1+NORM.INV(RAND(),0,$J$4)))</f>
        <v/>
      </c>
      <c r="C842" s="12">
        <f>'Deal Analyzer'!$B$5*MAX(0.9,1+NORM.INV(RAND(),$J$5,$J$6))</f>
        <v/>
      </c>
      <c r="D842" s="12">
        <f>'Deal Analyzer'!$B$24+C842+B842*'Deal Analyzer'!$B$11</f>
        <v/>
      </c>
      <c r="E842" s="15">
        <f>IF(B842=0,0,(B842-D842)/B842)</f>
        <v/>
      </c>
      <c r="F842" s="2">
        <f>E842&gt;='Deal Analyzer'!$B$12</f>
        <v/>
      </c>
      <c r="G842" s="12">
        <f>IF(AND(F842,RAND()&lt;$J$7),'Deal Analyzer'!$B$8-'Deal Analyzer'!$B$10,-('Deal Analyzer'!$B$10+'Deal Analyzer'!$B$9*'Deal Analyzer'!$B$14))</f>
        <v/>
      </c>
      <c r="H842" s="2" t="n"/>
      <c r="I842" s="2" t="n"/>
      <c r="J842" s="2" t="n"/>
      <c r="K842" s="2" t="n"/>
    </row>
    <row r="843">
      <c r="A843" s="2" t="n">
        <v>832</v>
      </c>
      <c r="B843" s="12">
        <f>MAX(0,'Deal Analyzer'!$B$4*(1+NORM.INV(RAND(),0,$J$4)))</f>
        <v/>
      </c>
      <c r="C843" s="12">
        <f>'Deal Analyzer'!$B$5*MAX(0.9,1+NORM.INV(RAND(),$J$5,$J$6))</f>
        <v/>
      </c>
      <c r="D843" s="12">
        <f>'Deal Analyzer'!$B$24+C843+B843*'Deal Analyzer'!$B$11</f>
        <v/>
      </c>
      <c r="E843" s="15">
        <f>IF(B843=0,0,(B843-D843)/B843)</f>
        <v/>
      </c>
      <c r="F843" s="2">
        <f>E843&gt;='Deal Analyzer'!$B$12</f>
        <v/>
      </c>
      <c r="G843" s="12">
        <f>IF(AND(F843,RAND()&lt;$J$7),'Deal Analyzer'!$B$8-'Deal Analyzer'!$B$10,-('Deal Analyzer'!$B$10+'Deal Analyzer'!$B$9*'Deal Analyzer'!$B$14))</f>
        <v/>
      </c>
      <c r="H843" s="2" t="n"/>
      <c r="I843" s="2" t="n"/>
      <c r="J843" s="2" t="n"/>
      <c r="K843" s="2" t="n"/>
    </row>
    <row r="844">
      <c r="A844" s="2" t="n">
        <v>833</v>
      </c>
      <c r="B844" s="12">
        <f>MAX(0,'Deal Analyzer'!$B$4*(1+NORM.INV(RAND(),0,$J$4)))</f>
        <v/>
      </c>
      <c r="C844" s="12">
        <f>'Deal Analyzer'!$B$5*MAX(0.9,1+NORM.INV(RAND(),$J$5,$J$6))</f>
        <v/>
      </c>
      <c r="D844" s="12">
        <f>'Deal Analyzer'!$B$24+C844+B844*'Deal Analyzer'!$B$11</f>
        <v/>
      </c>
      <c r="E844" s="15">
        <f>IF(B844=0,0,(B844-D844)/B844)</f>
        <v/>
      </c>
      <c r="F844" s="2">
        <f>E844&gt;='Deal Analyzer'!$B$12</f>
        <v/>
      </c>
      <c r="G844" s="12">
        <f>IF(AND(F844,RAND()&lt;$J$7),'Deal Analyzer'!$B$8-'Deal Analyzer'!$B$10,-('Deal Analyzer'!$B$10+'Deal Analyzer'!$B$9*'Deal Analyzer'!$B$14))</f>
        <v/>
      </c>
      <c r="H844" s="2" t="n"/>
      <c r="I844" s="2" t="n"/>
      <c r="J844" s="2" t="n"/>
      <c r="K844" s="2" t="n"/>
    </row>
    <row r="845">
      <c r="A845" s="2" t="n">
        <v>834</v>
      </c>
      <c r="B845" s="12">
        <f>MAX(0,'Deal Analyzer'!$B$4*(1+NORM.INV(RAND(),0,$J$4)))</f>
        <v/>
      </c>
      <c r="C845" s="12">
        <f>'Deal Analyzer'!$B$5*MAX(0.9,1+NORM.INV(RAND(),$J$5,$J$6))</f>
        <v/>
      </c>
      <c r="D845" s="12">
        <f>'Deal Analyzer'!$B$24+C845+B845*'Deal Analyzer'!$B$11</f>
        <v/>
      </c>
      <c r="E845" s="15">
        <f>IF(B845=0,0,(B845-D845)/B845)</f>
        <v/>
      </c>
      <c r="F845" s="2">
        <f>E845&gt;='Deal Analyzer'!$B$12</f>
        <v/>
      </c>
      <c r="G845" s="12">
        <f>IF(AND(F845,RAND()&lt;$J$7),'Deal Analyzer'!$B$8-'Deal Analyzer'!$B$10,-('Deal Analyzer'!$B$10+'Deal Analyzer'!$B$9*'Deal Analyzer'!$B$14))</f>
        <v/>
      </c>
      <c r="H845" s="2" t="n"/>
      <c r="I845" s="2" t="n"/>
      <c r="J845" s="2" t="n"/>
      <c r="K845" s="2" t="n"/>
    </row>
    <row r="846">
      <c r="A846" s="2" t="n">
        <v>835</v>
      </c>
      <c r="B846" s="12">
        <f>MAX(0,'Deal Analyzer'!$B$4*(1+NORM.INV(RAND(),0,$J$4)))</f>
        <v/>
      </c>
      <c r="C846" s="12">
        <f>'Deal Analyzer'!$B$5*MAX(0.9,1+NORM.INV(RAND(),$J$5,$J$6))</f>
        <v/>
      </c>
      <c r="D846" s="12">
        <f>'Deal Analyzer'!$B$24+C846+B846*'Deal Analyzer'!$B$11</f>
        <v/>
      </c>
      <c r="E846" s="15">
        <f>IF(B846=0,0,(B846-D846)/B846)</f>
        <v/>
      </c>
      <c r="F846" s="2">
        <f>E846&gt;='Deal Analyzer'!$B$12</f>
        <v/>
      </c>
      <c r="G846" s="12">
        <f>IF(AND(F846,RAND()&lt;$J$7),'Deal Analyzer'!$B$8-'Deal Analyzer'!$B$10,-('Deal Analyzer'!$B$10+'Deal Analyzer'!$B$9*'Deal Analyzer'!$B$14))</f>
        <v/>
      </c>
      <c r="H846" s="2" t="n"/>
      <c r="I846" s="2" t="n"/>
      <c r="J846" s="2" t="n"/>
      <c r="K846" s="2" t="n"/>
    </row>
    <row r="847">
      <c r="A847" s="2" t="n">
        <v>836</v>
      </c>
      <c r="B847" s="12">
        <f>MAX(0,'Deal Analyzer'!$B$4*(1+NORM.INV(RAND(),0,$J$4)))</f>
        <v/>
      </c>
      <c r="C847" s="12">
        <f>'Deal Analyzer'!$B$5*MAX(0.9,1+NORM.INV(RAND(),$J$5,$J$6))</f>
        <v/>
      </c>
      <c r="D847" s="12">
        <f>'Deal Analyzer'!$B$24+C847+B847*'Deal Analyzer'!$B$11</f>
        <v/>
      </c>
      <c r="E847" s="15">
        <f>IF(B847=0,0,(B847-D847)/B847)</f>
        <v/>
      </c>
      <c r="F847" s="2">
        <f>E847&gt;='Deal Analyzer'!$B$12</f>
        <v/>
      </c>
      <c r="G847" s="12">
        <f>IF(AND(F847,RAND()&lt;$J$7),'Deal Analyzer'!$B$8-'Deal Analyzer'!$B$10,-('Deal Analyzer'!$B$10+'Deal Analyzer'!$B$9*'Deal Analyzer'!$B$14))</f>
        <v/>
      </c>
      <c r="H847" s="2" t="n"/>
      <c r="I847" s="2" t="n"/>
      <c r="J847" s="2" t="n"/>
      <c r="K847" s="2" t="n"/>
    </row>
    <row r="848">
      <c r="A848" s="2" t="n">
        <v>837</v>
      </c>
      <c r="B848" s="12">
        <f>MAX(0,'Deal Analyzer'!$B$4*(1+NORM.INV(RAND(),0,$J$4)))</f>
        <v/>
      </c>
      <c r="C848" s="12">
        <f>'Deal Analyzer'!$B$5*MAX(0.9,1+NORM.INV(RAND(),$J$5,$J$6))</f>
        <v/>
      </c>
      <c r="D848" s="12">
        <f>'Deal Analyzer'!$B$24+C848+B848*'Deal Analyzer'!$B$11</f>
        <v/>
      </c>
      <c r="E848" s="15">
        <f>IF(B848=0,0,(B848-D848)/B848)</f>
        <v/>
      </c>
      <c r="F848" s="2">
        <f>E848&gt;='Deal Analyzer'!$B$12</f>
        <v/>
      </c>
      <c r="G848" s="12">
        <f>IF(AND(F848,RAND()&lt;$J$7),'Deal Analyzer'!$B$8-'Deal Analyzer'!$B$10,-('Deal Analyzer'!$B$10+'Deal Analyzer'!$B$9*'Deal Analyzer'!$B$14))</f>
        <v/>
      </c>
      <c r="H848" s="2" t="n"/>
      <c r="I848" s="2" t="n"/>
      <c r="J848" s="2" t="n"/>
      <c r="K848" s="2" t="n"/>
    </row>
    <row r="849">
      <c r="A849" s="2" t="n">
        <v>838</v>
      </c>
      <c r="B849" s="12">
        <f>MAX(0,'Deal Analyzer'!$B$4*(1+NORM.INV(RAND(),0,$J$4)))</f>
        <v/>
      </c>
      <c r="C849" s="12">
        <f>'Deal Analyzer'!$B$5*MAX(0.9,1+NORM.INV(RAND(),$J$5,$J$6))</f>
        <v/>
      </c>
      <c r="D849" s="12">
        <f>'Deal Analyzer'!$B$24+C849+B849*'Deal Analyzer'!$B$11</f>
        <v/>
      </c>
      <c r="E849" s="15">
        <f>IF(B849=0,0,(B849-D849)/B849)</f>
        <v/>
      </c>
      <c r="F849" s="2">
        <f>E849&gt;='Deal Analyzer'!$B$12</f>
        <v/>
      </c>
      <c r="G849" s="12">
        <f>IF(AND(F849,RAND()&lt;$J$7),'Deal Analyzer'!$B$8-'Deal Analyzer'!$B$10,-('Deal Analyzer'!$B$10+'Deal Analyzer'!$B$9*'Deal Analyzer'!$B$14))</f>
        <v/>
      </c>
      <c r="H849" s="2" t="n"/>
      <c r="I849" s="2" t="n"/>
      <c r="J849" s="2" t="n"/>
      <c r="K849" s="2" t="n"/>
    </row>
    <row r="850">
      <c r="A850" s="2" t="n">
        <v>839</v>
      </c>
      <c r="B850" s="12">
        <f>MAX(0,'Deal Analyzer'!$B$4*(1+NORM.INV(RAND(),0,$J$4)))</f>
        <v/>
      </c>
      <c r="C850" s="12">
        <f>'Deal Analyzer'!$B$5*MAX(0.9,1+NORM.INV(RAND(),$J$5,$J$6))</f>
        <v/>
      </c>
      <c r="D850" s="12">
        <f>'Deal Analyzer'!$B$24+C850+B850*'Deal Analyzer'!$B$11</f>
        <v/>
      </c>
      <c r="E850" s="15">
        <f>IF(B850=0,0,(B850-D850)/B850)</f>
        <v/>
      </c>
      <c r="F850" s="2">
        <f>E850&gt;='Deal Analyzer'!$B$12</f>
        <v/>
      </c>
      <c r="G850" s="12">
        <f>IF(AND(F850,RAND()&lt;$J$7),'Deal Analyzer'!$B$8-'Deal Analyzer'!$B$10,-('Deal Analyzer'!$B$10+'Deal Analyzer'!$B$9*'Deal Analyzer'!$B$14))</f>
        <v/>
      </c>
      <c r="H850" s="2" t="n"/>
      <c r="I850" s="2" t="n"/>
      <c r="J850" s="2" t="n"/>
      <c r="K850" s="2" t="n"/>
    </row>
    <row r="851">
      <c r="A851" s="2" t="n">
        <v>840</v>
      </c>
      <c r="B851" s="12">
        <f>MAX(0,'Deal Analyzer'!$B$4*(1+NORM.INV(RAND(),0,$J$4)))</f>
        <v/>
      </c>
      <c r="C851" s="12">
        <f>'Deal Analyzer'!$B$5*MAX(0.9,1+NORM.INV(RAND(),$J$5,$J$6))</f>
        <v/>
      </c>
      <c r="D851" s="12">
        <f>'Deal Analyzer'!$B$24+C851+B851*'Deal Analyzer'!$B$11</f>
        <v/>
      </c>
      <c r="E851" s="15">
        <f>IF(B851=0,0,(B851-D851)/B851)</f>
        <v/>
      </c>
      <c r="F851" s="2">
        <f>E851&gt;='Deal Analyzer'!$B$12</f>
        <v/>
      </c>
      <c r="G851" s="12">
        <f>IF(AND(F851,RAND()&lt;$J$7),'Deal Analyzer'!$B$8-'Deal Analyzer'!$B$10,-('Deal Analyzer'!$B$10+'Deal Analyzer'!$B$9*'Deal Analyzer'!$B$14))</f>
        <v/>
      </c>
      <c r="H851" s="2" t="n"/>
      <c r="I851" s="2" t="n"/>
      <c r="J851" s="2" t="n"/>
      <c r="K851" s="2" t="n"/>
    </row>
    <row r="852">
      <c r="A852" s="2" t="n">
        <v>841</v>
      </c>
      <c r="B852" s="12">
        <f>MAX(0,'Deal Analyzer'!$B$4*(1+NORM.INV(RAND(),0,$J$4)))</f>
        <v/>
      </c>
      <c r="C852" s="12">
        <f>'Deal Analyzer'!$B$5*MAX(0.9,1+NORM.INV(RAND(),$J$5,$J$6))</f>
        <v/>
      </c>
      <c r="D852" s="12">
        <f>'Deal Analyzer'!$B$24+C852+B852*'Deal Analyzer'!$B$11</f>
        <v/>
      </c>
      <c r="E852" s="15">
        <f>IF(B852=0,0,(B852-D852)/B852)</f>
        <v/>
      </c>
      <c r="F852" s="2">
        <f>E852&gt;='Deal Analyzer'!$B$12</f>
        <v/>
      </c>
      <c r="G852" s="12">
        <f>IF(AND(F852,RAND()&lt;$J$7),'Deal Analyzer'!$B$8-'Deal Analyzer'!$B$10,-('Deal Analyzer'!$B$10+'Deal Analyzer'!$B$9*'Deal Analyzer'!$B$14))</f>
        <v/>
      </c>
      <c r="H852" s="2" t="n"/>
      <c r="I852" s="2" t="n"/>
      <c r="J852" s="2" t="n"/>
      <c r="K852" s="2" t="n"/>
    </row>
    <row r="853">
      <c r="A853" s="2" t="n">
        <v>842</v>
      </c>
      <c r="B853" s="12">
        <f>MAX(0,'Deal Analyzer'!$B$4*(1+NORM.INV(RAND(),0,$J$4)))</f>
        <v/>
      </c>
      <c r="C853" s="12">
        <f>'Deal Analyzer'!$B$5*MAX(0.9,1+NORM.INV(RAND(),$J$5,$J$6))</f>
        <v/>
      </c>
      <c r="D853" s="12">
        <f>'Deal Analyzer'!$B$24+C853+B853*'Deal Analyzer'!$B$11</f>
        <v/>
      </c>
      <c r="E853" s="15">
        <f>IF(B853=0,0,(B853-D853)/B853)</f>
        <v/>
      </c>
      <c r="F853" s="2">
        <f>E853&gt;='Deal Analyzer'!$B$12</f>
        <v/>
      </c>
      <c r="G853" s="12">
        <f>IF(AND(F853,RAND()&lt;$J$7),'Deal Analyzer'!$B$8-'Deal Analyzer'!$B$10,-('Deal Analyzer'!$B$10+'Deal Analyzer'!$B$9*'Deal Analyzer'!$B$14))</f>
        <v/>
      </c>
      <c r="H853" s="2" t="n"/>
      <c r="I853" s="2" t="n"/>
      <c r="J853" s="2" t="n"/>
      <c r="K853" s="2" t="n"/>
    </row>
    <row r="854">
      <c r="A854" s="2" t="n">
        <v>843</v>
      </c>
      <c r="B854" s="12">
        <f>MAX(0,'Deal Analyzer'!$B$4*(1+NORM.INV(RAND(),0,$J$4)))</f>
        <v/>
      </c>
      <c r="C854" s="12">
        <f>'Deal Analyzer'!$B$5*MAX(0.9,1+NORM.INV(RAND(),$J$5,$J$6))</f>
        <v/>
      </c>
      <c r="D854" s="12">
        <f>'Deal Analyzer'!$B$24+C854+B854*'Deal Analyzer'!$B$11</f>
        <v/>
      </c>
      <c r="E854" s="15">
        <f>IF(B854=0,0,(B854-D854)/B854)</f>
        <v/>
      </c>
      <c r="F854" s="2">
        <f>E854&gt;='Deal Analyzer'!$B$12</f>
        <v/>
      </c>
      <c r="G854" s="12">
        <f>IF(AND(F854,RAND()&lt;$J$7),'Deal Analyzer'!$B$8-'Deal Analyzer'!$B$10,-('Deal Analyzer'!$B$10+'Deal Analyzer'!$B$9*'Deal Analyzer'!$B$14))</f>
        <v/>
      </c>
      <c r="H854" s="2" t="n"/>
      <c r="I854" s="2" t="n"/>
      <c r="J854" s="2" t="n"/>
      <c r="K854" s="2" t="n"/>
    </row>
    <row r="855">
      <c r="A855" s="2" t="n">
        <v>844</v>
      </c>
      <c r="B855" s="12">
        <f>MAX(0,'Deal Analyzer'!$B$4*(1+NORM.INV(RAND(),0,$J$4)))</f>
        <v/>
      </c>
      <c r="C855" s="12">
        <f>'Deal Analyzer'!$B$5*MAX(0.9,1+NORM.INV(RAND(),$J$5,$J$6))</f>
        <v/>
      </c>
      <c r="D855" s="12">
        <f>'Deal Analyzer'!$B$24+C855+B855*'Deal Analyzer'!$B$11</f>
        <v/>
      </c>
      <c r="E855" s="15">
        <f>IF(B855=0,0,(B855-D855)/B855)</f>
        <v/>
      </c>
      <c r="F855" s="2">
        <f>E855&gt;='Deal Analyzer'!$B$12</f>
        <v/>
      </c>
      <c r="G855" s="12">
        <f>IF(AND(F855,RAND()&lt;$J$7),'Deal Analyzer'!$B$8-'Deal Analyzer'!$B$10,-('Deal Analyzer'!$B$10+'Deal Analyzer'!$B$9*'Deal Analyzer'!$B$14))</f>
        <v/>
      </c>
      <c r="H855" s="2" t="n"/>
      <c r="I855" s="2" t="n"/>
      <c r="J855" s="2" t="n"/>
      <c r="K855" s="2" t="n"/>
    </row>
    <row r="856">
      <c r="A856" s="2" t="n">
        <v>845</v>
      </c>
      <c r="B856" s="12">
        <f>MAX(0,'Deal Analyzer'!$B$4*(1+NORM.INV(RAND(),0,$J$4)))</f>
        <v/>
      </c>
      <c r="C856" s="12">
        <f>'Deal Analyzer'!$B$5*MAX(0.9,1+NORM.INV(RAND(),$J$5,$J$6))</f>
        <v/>
      </c>
      <c r="D856" s="12">
        <f>'Deal Analyzer'!$B$24+C856+B856*'Deal Analyzer'!$B$11</f>
        <v/>
      </c>
      <c r="E856" s="15">
        <f>IF(B856=0,0,(B856-D856)/B856)</f>
        <v/>
      </c>
      <c r="F856" s="2">
        <f>E856&gt;='Deal Analyzer'!$B$12</f>
        <v/>
      </c>
      <c r="G856" s="12">
        <f>IF(AND(F856,RAND()&lt;$J$7),'Deal Analyzer'!$B$8-'Deal Analyzer'!$B$10,-('Deal Analyzer'!$B$10+'Deal Analyzer'!$B$9*'Deal Analyzer'!$B$14))</f>
        <v/>
      </c>
      <c r="H856" s="2" t="n"/>
      <c r="I856" s="2" t="n"/>
      <c r="J856" s="2" t="n"/>
      <c r="K856" s="2" t="n"/>
    </row>
    <row r="857">
      <c r="A857" s="2" t="n">
        <v>846</v>
      </c>
      <c r="B857" s="12">
        <f>MAX(0,'Deal Analyzer'!$B$4*(1+NORM.INV(RAND(),0,$J$4)))</f>
        <v/>
      </c>
      <c r="C857" s="12">
        <f>'Deal Analyzer'!$B$5*MAX(0.9,1+NORM.INV(RAND(),$J$5,$J$6))</f>
        <v/>
      </c>
      <c r="D857" s="12">
        <f>'Deal Analyzer'!$B$24+C857+B857*'Deal Analyzer'!$B$11</f>
        <v/>
      </c>
      <c r="E857" s="15">
        <f>IF(B857=0,0,(B857-D857)/B857)</f>
        <v/>
      </c>
      <c r="F857" s="2">
        <f>E857&gt;='Deal Analyzer'!$B$12</f>
        <v/>
      </c>
      <c r="G857" s="12">
        <f>IF(AND(F857,RAND()&lt;$J$7),'Deal Analyzer'!$B$8-'Deal Analyzer'!$B$10,-('Deal Analyzer'!$B$10+'Deal Analyzer'!$B$9*'Deal Analyzer'!$B$14))</f>
        <v/>
      </c>
      <c r="H857" s="2" t="n"/>
      <c r="I857" s="2" t="n"/>
      <c r="J857" s="2" t="n"/>
      <c r="K857" s="2" t="n"/>
    </row>
    <row r="858">
      <c r="A858" s="2" t="n">
        <v>847</v>
      </c>
      <c r="B858" s="12">
        <f>MAX(0,'Deal Analyzer'!$B$4*(1+NORM.INV(RAND(),0,$J$4)))</f>
        <v/>
      </c>
      <c r="C858" s="12">
        <f>'Deal Analyzer'!$B$5*MAX(0.9,1+NORM.INV(RAND(),$J$5,$J$6))</f>
        <v/>
      </c>
      <c r="D858" s="12">
        <f>'Deal Analyzer'!$B$24+C858+B858*'Deal Analyzer'!$B$11</f>
        <v/>
      </c>
      <c r="E858" s="15">
        <f>IF(B858=0,0,(B858-D858)/B858)</f>
        <v/>
      </c>
      <c r="F858" s="2">
        <f>E858&gt;='Deal Analyzer'!$B$12</f>
        <v/>
      </c>
      <c r="G858" s="12">
        <f>IF(AND(F858,RAND()&lt;$J$7),'Deal Analyzer'!$B$8-'Deal Analyzer'!$B$10,-('Deal Analyzer'!$B$10+'Deal Analyzer'!$B$9*'Deal Analyzer'!$B$14))</f>
        <v/>
      </c>
      <c r="H858" s="2" t="n"/>
      <c r="I858" s="2" t="n"/>
      <c r="J858" s="2" t="n"/>
      <c r="K858" s="2" t="n"/>
    </row>
    <row r="859">
      <c r="A859" s="2" t="n">
        <v>848</v>
      </c>
      <c r="B859" s="12">
        <f>MAX(0,'Deal Analyzer'!$B$4*(1+NORM.INV(RAND(),0,$J$4)))</f>
        <v/>
      </c>
      <c r="C859" s="12">
        <f>'Deal Analyzer'!$B$5*MAX(0.9,1+NORM.INV(RAND(),$J$5,$J$6))</f>
        <v/>
      </c>
      <c r="D859" s="12">
        <f>'Deal Analyzer'!$B$24+C859+B859*'Deal Analyzer'!$B$11</f>
        <v/>
      </c>
      <c r="E859" s="15">
        <f>IF(B859=0,0,(B859-D859)/B859)</f>
        <v/>
      </c>
      <c r="F859" s="2">
        <f>E859&gt;='Deal Analyzer'!$B$12</f>
        <v/>
      </c>
      <c r="G859" s="12">
        <f>IF(AND(F859,RAND()&lt;$J$7),'Deal Analyzer'!$B$8-'Deal Analyzer'!$B$10,-('Deal Analyzer'!$B$10+'Deal Analyzer'!$B$9*'Deal Analyzer'!$B$14))</f>
        <v/>
      </c>
      <c r="H859" s="2" t="n"/>
      <c r="I859" s="2" t="n"/>
      <c r="J859" s="2" t="n"/>
      <c r="K859" s="2" t="n"/>
    </row>
    <row r="860">
      <c r="A860" s="2" t="n">
        <v>849</v>
      </c>
      <c r="B860" s="12">
        <f>MAX(0,'Deal Analyzer'!$B$4*(1+NORM.INV(RAND(),0,$J$4)))</f>
        <v/>
      </c>
      <c r="C860" s="12">
        <f>'Deal Analyzer'!$B$5*MAX(0.9,1+NORM.INV(RAND(),$J$5,$J$6))</f>
        <v/>
      </c>
      <c r="D860" s="12">
        <f>'Deal Analyzer'!$B$24+C860+B860*'Deal Analyzer'!$B$11</f>
        <v/>
      </c>
      <c r="E860" s="15">
        <f>IF(B860=0,0,(B860-D860)/B860)</f>
        <v/>
      </c>
      <c r="F860" s="2">
        <f>E860&gt;='Deal Analyzer'!$B$12</f>
        <v/>
      </c>
      <c r="G860" s="12">
        <f>IF(AND(F860,RAND()&lt;$J$7),'Deal Analyzer'!$B$8-'Deal Analyzer'!$B$10,-('Deal Analyzer'!$B$10+'Deal Analyzer'!$B$9*'Deal Analyzer'!$B$14))</f>
        <v/>
      </c>
      <c r="H860" s="2" t="n"/>
      <c r="I860" s="2" t="n"/>
      <c r="J860" s="2" t="n"/>
      <c r="K860" s="2" t="n"/>
    </row>
    <row r="861">
      <c r="A861" s="2" t="n">
        <v>850</v>
      </c>
      <c r="B861" s="12">
        <f>MAX(0,'Deal Analyzer'!$B$4*(1+NORM.INV(RAND(),0,$J$4)))</f>
        <v/>
      </c>
      <c r="C861" s="12">
        <f>'Deal Analyzer'!$B$5*MAX(0.9,1+NORM.INV(RAND(),$J$5,$J$6))</f>
        <v/>
      </c>
      <c r="D861" s="12">
        <f>'Deal Analyzer'!$B$24+C861+B861*'Deal Analyzer'!$B$11</f>
        <v/>
      </c>
      <c r="E861" s="15">
        <f>IF(B861=0,0,(B861-D861)/B861)</f>
        <v/>
      </c>
      <c r="F861" s="2">
        <f>E861&gt;='Deal Analyzer'!$B$12</f>
        <v/>
      </c>
      <c r="G861" s="12">
        <f>IF(AND(F861,RAND()&lt;$J$7),'Deal Analyzer'!$B$8-'Deal Analyzer'!$B$10,-('Deal Analyzer'!$B$10+'Deal Analyzer'!$B$9*'Deal Analyzer'!$B$14))</f>
        <v/>
      </c>
      <c r="H861" s="2" t="n"/>
      <c r="I861" s="2" t="n"/>
      <c r="J861" s="2" t="n"/>
      <c r="K861" s="2" t="n"/>
    </row>
    <row r="862">
      <c r="A862" s="2" t="n">
        <v>851</v>
      </c>
      <c r="B862" s="12">
        <f>MAX(0,'Deal Analyzer'!$B$4*(1+NORM.INV(RAND(),0,$J$4)))</f>
        <v/>
      </c>
      <c r="C862" s="12">
        <f>'Deal Analyzer'!$B$5*MAX(0.9,1+NORM.INV(RAND(),$J$5,$J$6))</f>
        <v/>
      </c>
      <c r="D862" s="12">
        <f>'Deal Analyzer'!$B$24+C862+B862*'Deal Analyzer'!$B$11</f>
        <v/>
      </c>
      <c r="E862" s="15">
        <f>IF(B862=0,0,(B862-D862)/B862)</f>
        <v/>
      </c>
      <c r="F862" s="2">
        <f>E862&gt;='Deal Analyzer'!$B$12</f>
        <v/>
      </c>
      <c r="G862" s="12">
        <f>IF(AND(F862,RAND()&lt;$J$7),'Deal Analyzer'!$B$8-'Deal Analyzer'!$B$10,-('Deal Analyzer'!$B$10+'Deal Analyzer'!$B$9*'Deal Analyzer'!$B$14))</f>
        <v/>
      </c>
      <c r="H862" s="2" t="n"/>
      <c r="I862" s="2" t="n"/>
      <c r="J862" s="2" t="n"/>
      <c r="K862" s="2" t="n"/>
    </row>
    <row r="863">
      <c r="A863" s="2" t="n">
        <v>852</v>
      </c>
      <c r="B863" s="12">
        <f>MAX(0,'Deal Analyzer'!$B$4*(1+NORM.INV(RAND(),0,$J$4)))</f>
        <v/>
      </c>
      <c r="C863" s="12">
        <f>'Deal Analyzer'!$B$5*MAX(0.9,1+NORM.INV(RAND(),$J$5,$J$6))</f>
        <v/>
      </c>
      <c r="D863" s="12">
        <f>'Deal Analyzer'!$B$24+C863+B863*'Deal Analyzer'!$B$11</f>
        <v/>
      </c>
      <c r="E863" s="15">
        <f>IF(B863=0,0,(B863-D863)/B863)</f>
        <v/>
      </c>
      <c r="F863" s="2">
        <f>E863&gt;='Deal Analyzer'!$B$12</f>
        <v/>
      </c>
      <c r="G863" s="12">
        <f>IF(AND(F863,RAND()&lt;$J$7),'Deal Analyzer'!$B$8-'Deal Analyzer'!$B$10,-('Deal Analyzer'!$B$10+'Deal Analyzer'!$B$9*'Deal Analyzer'!$B$14))</f>
        <v/>
      </c>
      <c r="H863" s="2" t="n"/>
      <c r="I863" s="2" t="n"/>
      <c r="J863" s="2" t="n"/>
      <c r="K863" s="2" t="n"/>
    </row>
    <row r="864">
      <c r="A864" s="2" t="n">
        <v>853</v>
      </c>
      <c r="B864" s="12">
        <f>MAX(0,'Deal Analyzer'!$B$4*(1+NORM.INV(RAND(),0,$J$4)))</f>
        <v/>
      </c>
      <c r="C864" s="12">
        <f>'Deal Analyzer'!$B$5*MAX(0.9,1+NORM.INV(RAND(),$J$5,$J$6))</f>
        <v/>
      </c>
      <c r="D864" s="12">
        <f>'Deal Analyzer'!$B$24+C864+B864*'Deal Analyzer'!$B$11</f>
        <v/>
      </c>
      <c r="E864" s="15">
        <f>IF(B864=0,0,(B864-D864)/B864)</f>
        <v/>
      </c>
      <c r="F864" s="2">
        <f>E864&gt;='Deal Analyzer'!$B$12</f>
        <v/>
      </c>
      <c r="G864" s="12">
        <f>IF(AND(F864,RAND()&lt;$J$7),'Deal Analyzer'!$B$8-'Deal Analyzer'!$B$10,-('Deal Analyzer'!$B$10+'Deal Analyzer'!$B$9*'Deal Analyzer'!$B$14))</f>
        <v/>
      </c>
      <c r="H864" s="2" t="n"/>
      <c r="I864" s="2" t="n"/>
      <c r="J864" s="2" t="n"/>
      <c r="K864" s="2" t="n"/>
    </row>
    <row r="865">
      <c r="A865" s="2" t="n">
        <v>854</v>
      </c>
      <c r="B865" s="12">
        <f>MAX(0,'Deal Analyzer'!$B$4*(1+NORM.INV(RAND(),0,$J$4)))</f>
        <v/>
      </c>
      <c r="C865" s="12">
        <f>'Deal Analyzer'!$B$5*MAX(0.9,1+NORM.INV(RAND(),$J$5,$J$6))</f>
        <v/>
      </c>
      <c r="D865" s="12">
        <f>'Deal Analyzer'!$B$24+C865+B865*'Deal Analyzer'!$B$11</f>
        <v/>
      </c>
      <c r="E865" s="15">
        <f>IF(B865=0,0,(B865-D865)/B865)</f>
        <v/>
      </c>
      <c r="F865" s="2">
        <f>E865&gt;='Deal Analyzer'!$B$12</f>
        <v/>
      </c>
      <c r="G865" s="12">
        <f>IF(AND(F865,RAND()&lt;$J$7),'Deal Analyzer'!$B$8-'Deal Analyzer'!$B$10,-('Deal Analyzer'!$B$10+'Deal Analyzer'!$B$9*'Deal Analyzer'!$B$14))</f>
        <v/>
      </c>
      <c r="H865" s="2" t="n"/>
      <c r="I865" s="2" t="n"/>
      <c r="J865" s="2" t="n"/>
      <c r="K865" s="2" t="n"/>
    </row>
    <row r="866">
      <c r="A866" s="2" t="n">
        <v>855</v>
      </c>
      <c r="B866" s="12">
        <f>MAX(0,'Deal Analyzer'!$B$4*(1+NORM.INV(RAND(),0,$J$4)))</f>
        <v/>
      </c>
      <c r="C866" s="12">
        <f>'Deal Analyzer'!$B$5*MAX(0.9,1+NORM.INV(RAND(),$J$5,$J$6))</f>
        <v/>
      </c>
      <c r="D866" s="12">
        <f>'Deal Analyzer'!$B$24+C866+B866*'Deal Analyzer'!$B$11</f>
        <v/>
      </c>
      <c r="E866" s="15">
        <f>IF(B866=0,0,(B866-D866)/B866)</f>
        <v/>
      </c>
      <c r="F866" s="2">
        <f>E866&gt;='Deal Analyzer'!$B$12</f>
        <v/>
      </c>
      <c r="G866" s="12">
        <f>IF(AND(F866,RAND()&lt;$J$7),'Deal Analyzer'!$B$8-'Deal Analyzer'!$B$10,-('Deal Analyzer'!$B$10+'Deal Analyzer'!$B$9*'Deal Analyzer'!$B$14))</f>
        <v/>
      </c>
      <c r="H866" s="2" t="n"/>
      <c r="I866" s="2" t="n"/>
      <c r="J866" s="2" t="n"/>
      <c r="K866" s="2" t="n"/>
    </row>
    <row r="867">
      <c r="A867" s="2" t="n">
        <v>856</v>
      </c>
      <c r="B867" s="12">
        <f>MAX(0,'Deal Analyzer'!$B$4*(1+NORM.INV(RAND(),0,$J$4)))</f>
        <v/>
      </c>
      <c r="C867" s="12">
        <f>'Deal Analyzer'!$B$5*MAX(0.9,1+NORM.INV(RAND(),$J$5,$J$6))</f>
        <v/>
      </c>
      <c r="D867" s="12">
        <f>'Deal Analyzer'!$B$24+C867+B867*'Deal Analyzer'!$B$11</f>
        <v/>
      </c>
      <c r="E867" s="15">
        <f>IF(B867=0,0,(B867-D867)/B867)</f>
        <v/>
      </c>
      <c r="F867" s="2">
        <f>E867&gt;='Deal Analyzer'!$B$12</f>
        <v/>
      </c>
      <c r="G867" s="12">
        <f>IF(AND(F867,RAND()&lt;$J$7),'Deal Analyzer'!$B$8-'Deal Analyzer'!$B$10,-('Deal Analyzer'!$B$10+'Deal Analyzer'!$B$9*'Deal Analyzer'!$B$14))</f>
        <v/>
      </c>
      <c r="H867" s="2" t="n"/>
      <c r="I867" s="2" t="n"/>
      <c r="J867" s="2" t="n"/>
      <c r="K867" s="2" t="n"/>
    </row>
    <row r="868">
      <c r="A868" s="2" t="n">
        <v>857</v>
      </c>
      <c r="B868" s="12">
        <f>MAX(0,'Deal Analyzer'!$B$4*(1+NORM.INV(RAND(),0,$J$4)))</f>
        <v/>
      </c>
      <c r="C868" s="12">
        <f>'Deal Analyzer'!$B$5*MAX(0.9,1+NORM.INV(RAND(),$J$5,$J$6))</f>
        <v/>
      </c>
      <c r="D868" s="12">
        <f>'Deal Analyzer'!$B$24+C868+B868*'Deal Analyzer'!$B$11</f>
        <v/>
      </c>
      <c r="E868" s="15">
        <f>IF(B868=0,0,(B868-D868)/B868)</f>
        <v/>
      </c>
      <c r="F868" s="2">
        <f>E868&gt;='Deal Analyzer'!$B$12</f>
        <v/>
      </c>
      <c r="G868" s="12">
        <f>IF(AND(F868,RAND()&lt;$J$7),'Deal Analyzer'!$B$8-'Deal Analyzer'!$B$10,-('Deal Analyzer'!$B$10+'Deal Analyzer'!$B$9*'Deal Analyzer'!$B$14))</f>
        <v/>
      </c>
      <c r="H868" s="2" t="n"/>
      <c r="I868" s="2" t="n"/>
      <c r="J868" s="2" t="n"/>
      <c r="K868" s="2" t="n"/>
    </row>
    <row r="869">
      <c r="A869" s="2" t="n">
        <v>858</v>
      </c>
      <c r="B869" s="12">
        <f>MAX(0,'Deal Analyzer'!$B$4*(1+NORM.INV(RAND(),0,$J$4)))</f>
        <v/>
      </c>
      <c r="C869" s="12">
        <f>'Deal Analyzer'!$B$5*MAX(0.9,1+NORM.INV(RAND(),$J$5,$J$6))</f>
        <v/>
      </c>
      <c r="D869" s="12">
        <f>'Deal Analyzer'!$B$24+C869+B869*'Deal Analyzer'!$B$11</f>
        <v/>
      </c>
      <c r="E869" s="15">
        <f>IF(B869=0,0,(B869-D869)/B869)</f>
        <v/>
      </c>
      <c r="F869" s="2">
        <f>E869&gt;='Deal Analyzer'!$B$12</f>
        <v/>
      </c>
      <c r="G869" s="12">
        <f>IF(AND(F869,RAND()&lt;$J$7),'Deal Analyzer'!$B$8-'Deal Analyzer'!$B$10,-('Deal Analyzer'!$B$10+'Deal Analyzer'!$B$9*'Deal Analyzer'!$B$14))</f>
        <v/>
      </c>
      <c r="H869" s="2" t="n"/>
      <c r="I869" s="2" t="n"/>
      <c r="J869" s="2" t="n"/>
      <c r="K869" s="2" t="n"/>
    </row>
    <row r="870">
      <c r="A870" s="2" t="n">
        <v>859</v>
      </c>
      <c r="B870" s="12">
        <f>MAX(0,'Deal Analyzer'!$B$4*(1+NORM.INV(RAND(),0,$J$4)))</f>
        <v/>
      </c>
      <c r="C870" s="12">
        <f>'Deal Analyzer'!$B$5*MAX(0.9,1+NORM.INV(RAND(),$J$5,$J$6))</f>
        <v/>
      </c>
      <c r="D870" s="12">
        <f>'Deal Analyzer'!$B$24+C870+B870*'Deal Analyzer'!$B$11</f>
        <v/>
      </c>
      <c r="E870" s="15">
        <f>IF(B870=0,0,(B870-D870)/B870)</f>
        <v/>
      </c>
      <c r="F870" s="2">
        <f>E870&gt;='Deal Analyzer'!$B$12</f>
        <v/>
      </c>
      <c r="G870" s="12">
        <f>IF(AND(F870,RAND()&lt;$J$7),'Deal Analyzer'!$B$8-'Deal Analyzer'!$B$10,-('Deal Analyzer'!$B$10+'Deal Analyzer'!$B$9*'Deal Analyzer'!$B$14))</f>
        <v/>
      </c>
      <c r="H870" s="2" t="n"/>
      <c r="I870" s="2" t="n"/>
      <c r="J870" s="2" t="n"/>
      <c r="K870" s="2" t="n"/>
    </row>
    <row r="871">
      <c r="A871" s="2" t="n">
        <v>860</v>
      </c>
      <c r="B871" s="12">
        <f>MAX(0,'Deal Analyzer'!$B$4*(1+NORM.INV(RAND(),0,$J$4)))</f>
        <v/>
      </c>
      <c r="C871" s="12">
        <f>'Deal Analyzer'!$B$5*MAX(0.9,1+NORM.INV(RAND(),$J$5,$J$6))</f>
        <v/>
      </c>
      <c r="D871" s="12">
        <f>'Deal Analyzer'!$B$24+C871+B871*'Deal Analyzer'!$B$11</f>
        <v/>
      </c>
      <c r="E871" s="15">
        <f>IF(B871=0,0,(B871-D871)/B871)</f>
        <v/>
      </c>
      <c r="F871" s="2">
        <f>E871&gt;='Deal Analyzer'!$B$12</f>
        <v/>
      </c>
      <c r="G871" s="12">
        <f>IF(AND(F871,RAND()&lt;$J$7),'Deal Analyzer'!$B$8-'Deal Analyzer'!$B$10,-('Deal Analyzer'!$B$10+'Deal Analyzer'!$B$9*'Deal Analyzer'!$B$14))</f>
        <v/>
      </c>
      <c r="H871" s="2" t="n"/>
      <c r="I871" s="2" t="n"/>
      <c r="J871" s="2" t="n"/>
      <c r="K871" s="2" t="n"/>
    </row>
    <row r="872">
      <c r="A872" s="2" t="n">
        <v>861</v>
      </c>
      <c r="B872" s="12">
        <f>MAX(0,'Deal Analyzer'!$B$4*(1+NORM.INV(RAND(),0,$J$4)))</f>
        <v/>
      </c>
      <c r="C872" s="12">
        <f>'Deal Analyzer'!$B$5*MAX(0.9,1+NORM.INV(RAND(),$J$5,$J$6))</f>
        <v/>
      </c>
      <c r="D872" s="12">
        <f>'Deal Analyzer'!$B$24+C872+B872*'Deal Analyzer'!$B$11</f>
        <v/>
      </c>
      <c r="E872" s="15">
        <f>IF(B872=0,0,(B872-D872)/B872)</f>
        <v/>
      </c>
      <c r="F872" s="2">
        <f>E872&gt;='Deal Analyzer'!$B$12</f>
        <v/>
      </c>
      <c r="G872" s="12">
        <f>IF(AND(F872,RAND()&lt;$J$7),'Deal Analyzer'!$B$8-'Deal Analyzer'!$B$10,-('Deal Analyzer'!$B$10+'Deal Analyzer'!$B$9*'Deal Analyzer'!$B$14))</f>
        <v/>
      </c>
      <c r="H872" s="2" t="n"/>
      <c r="I872" s="2" t="n"/>
      <c r="J872" s="2" t="n"/>
      <c r="K872" s="2" t="n"/>
    </row>
    <row r="873">
      <c r="A873" s="2" t="n">
        <v>862</v>
      </c>
      <c r="B873" s="12">
        <f>MAX(0,'Deal Analyzer'!$B$4*(1+NORM.INV(RAND(),0,$J$4)))</f>
        <v/>
      </c>
      <c r="C873" s="12">
        <f>'Deal Analyzer'!$B$5*MAX(0.9,1+NORM.INV(RAND(),$J$5,$J$6))</f>
        <v/>
      </c>
      <c r="D873" s="12">
        <f>'Deal Analyzer'!$B$24+C873+B873*'Deal Analyzer'!$B$11</f>
        <v/>
      </c>
      <c r="E873" s="15">
        <f>IF(B873=0,0,(B873-D873)/B873)</f>
        <v/>
      </c>
      <c r="F873" s="2">
        <f>E873&gt;='Deal Analyzer'!$B$12</f>
        <v/>
      </c>
      <c r="G873" s="12">
        <f>IF(AND(F873,RAND()&lt;$J$7),'Deal Analyzer'!$B$8-'Deal Analyzer'!$B$10,-('Deal Analyzer'!$B$10+'Deal Analyzer'!$B$9*'Deal Analyzer'!$B$14))</f>
        <v/>
      </c>
      <c r="H873" s="2" t="n"/>
      <c r="I873" s="2" t="n"/>
      <c r="J873" s="2" t="n"/>
      <c r="K873" s="2" t="n"/>
    </row>
    <row r="874">
      <c r="A874" s="2" t="n">
        <v>863</v>
      </c>
      <c r="B874" s="12">
        <f>MAX(0,'Deal Analyzer'!$B$4*(1+NORM.INV(RAND(),0,$J$4)))</f>
        <v/>
      </c>
      <c r="C874" s="12">
        <f>'Deal Analyzer'!$B$5*MAX(0.9,1+NORM.INV(RAND(),$J$5,$J$6))</f>
        <v/>
      </c>
      <c r="D874" s="12">
        <f>'Deal Analyzer'!$B$24+C874+B874*'Deal Analyzer'!$B$11</f>
        <v/>
      </c>
      <c r="E874" s="15">
        <f>IF(B874=0,0,(B874-D874)/B874)</f>
        <v/>
      </c>
      <c r="F874" s="2">
        <f>E874&gt;='Deal Analyzer'!$B$12</f>
        <v/>
      </c>
      <c r="G874" s="12">
        <f>IF(AND(F874,RAND()&lt;$J$7),'Deal Analyzer'!$B$8-'Deal Analyzer'!$B$10,-('Deal Analyzer'!$B$10+'Deal Analyzer'!$B$9*'Deal Analyzer'!$B$14))</f>
        <v/>
      </c>
      <c r="H874" s="2" t="n"/>
      <c r="I874" s="2" t="n"/>
      <c r="J874" s="2" t="n"/>
      <c r="K874" s="2" t="n"/>
    </row>
    <row r="875">
      <c r="A875" s="2" t="n">
        <v>864</v>
      </c>
      <c r="B875" s="12">
        <f>MAX(0,'Deal Analyzer'!$B$4*(1+NORM.INV(RAND(),0,$J$4)))</f>
        <v/>
      </c>
      <c r="C875" s="12">
        <f>'Deal Analyzer'!$B$5*MAX(0.9,1+NORM.INV(RAND(),$J$5,$J$6))</f>
        <v/>
      </c>
      <c r="D875" s="12">
        <f>'Deal Analyzer'!$B$24+C875+B875*'Deal Analyzer'!$B$11</f>
        <v/>
      </c>
      <c r="E875" s="15">
        <f>IF(B875=0,0,(B875-D875)/B875)</f>
        <v/>
      </c>
      <c r="F875" s="2">
        <f>E875&gt;='Deal Analyzer'!$B$12</f>
        <v/>
      </c>
      <c r="G875" s="12">
        <f>IF(AND(F875,RAND()&lt;$J$7),'Deal Analyzer'!$B$8-'Deal Analyzer'!$B$10,-('Deal Analyzer'!$B$10+'Deal Analyzer'!$B$9*'Deal Analyzer'!$B$14))</f>
        <v/>
      </c>
      <c r="H875" s="2" t="n"/>
      <c r="I875" s="2" t="n"/>
      <c r="J875" s="2" t="n"/>
      <c r="K875" s="2" t="n"/>
    </row>
    <row r="876">
      <c r="A876" s="2" t="n">
        <v>865</v>
      </c>
      <c r="B876" s="12">
        <f>MAX(0,'Deal Analyzer'!$B$4*(1+NORM.INV(RAND(),0,$J$4)))</f>
        <v/>
      </c>
      <c r="C876" s="12">
        <f>'Deal Analyzer'!$B$5*MAX(0.9,1+NORM.INV(RAND(),$J$5,$J$6))</f>
        <v/>
      </c>
      <c r="D876" s="12">
        <f>'Deal Analyzer'!$B$24+C876+B876*'Deal Analyzer'!$B$11</f>
        <v/>
      </c>
      <c r="E876" s="15">
        <f>IF(B876=0,0,(B876-D876)/B876)</f>
        <v/>
      </c>
      <c r="F876" s="2">
        <f>E876&gt;='Deal Analyzer'!$B$12</f>
        <v/>
      </c>
      <c r="G876" s="12">
        <f>IF(AND(F876,RAND()&lt;$J$7),'Deal Analyzer'!$B$8-'Deal Analyzer'!$B$10,-('Deal Analyzer'!$B$10+'Deal Analyzer'!$B$9*'Deal Analyzer'!$B$14))</f>
        <v/>
      </c>
      <c r="H876" s="2" t="n"/>
      <c r="I876" s="2" t="n"/>
      <c r="J876" s="2" t="n"/>
      <c r="K876" s="2" t="n"/>
    </row>
    <row r="877">
      <c r="A877" s="2" t="n">
        <v>866</v>
      </c>
      <c r="B877" s="12">
        <f>MAX(0,'Deal Analyzer'!$B$4*(1+NORM.INV(RAND(),0,$J$4)))</f>
        <v/>
      </c>
      <c r="C877" s="12">
        <f>'Deal Analyzer'!$B$5*MAX(0.9,1+NORM.INV(RAND(),$J$5,$J$6))</f>
        <v/>
      </c>
      <c r="D877" s="12">
        <f>'Deal Analyzer'!$B$24+C877+B877*'Deal Analyzer'!$B$11</f>
        <v/>
      </c>
      <c r="E877" s="15">
        <f>IF(B877=0,0,(B877-D877)/B877)</f>
        <v/>
      </c>
      <c r="F877" s="2">
        <f>E877&gt;='Deal Analyzer'!$B$12</f>
        <v/>
      </c>
      <c r="G877" s="12">
        <f>IF(AND(F877,RAND()&lt;$J$7),'Deal Analyzer'!$B$8-'Deal Analyzer'!$B$10,-('Deal Analyzer'!$B$10+'Deal Analyzer'!$B$9*'Deal Analyzer'!$B$14))</f>
        <v/>
      </c>
      <c r="H877" s="2" t="n"/>
      <c r="I877" s="2" t="n"/>
      <c r="J877" s="2" t="n"/>
      <c r="K877" s="2" t="n"/>
    </row>
    <row r="878">
      <c r="A878" s="2" t="n">
        <v>867</v>
      </c>
      <c r="B878" s="12">
        <f>MAX(0,'Deal Analyzer'!$B$4*(1+NORM.INV(RAND(),0,$J$4)))</f>
        <v/>
      </c>
      <c r="C878" s="12">
        <f>'Deal Analyzer'!$B$5*MAX(0.9,1+NORM.INV(RAND(),$J$5,$J$6))</f>
        <v/>
      </c>
      <c r="D878" s="12">
        <f>'Deal Analyzer'!$B$24+C878+B878*'Deal Analyzer'!$B$11</f>
        <v/>
      </c>
      <c r="E878" s="15">
        <f>IF(B878=0,0,(B878-D878)/B878)</f>
        <v/>
      </c>
      <c r="F878" s="2">
        <f>E878&gt;='Deal Analyzer'!$B$12</f>
        <v/>
      </c>
      <c r="G878" s="12">
        <f>IF(AND(F878,RAND()&lt;$J$7),'Deal Analyzer'!$B$8-'Deal Analyzer'!$B$10,-('Deal Analyzer'!$B$10+'Deal Analyzer'!$B$9*'Deal Analyzer'!$B$14))</f>
        <v/>
      </c>
      <c r="H878" s="2" t="n"/>
      <c r="I878" s="2" t="n"/>
      <c r="J878" s="2" t="n"/>
      <c r="K878" s="2" t="n"/>
    </row>
    <row r="879">
      <c r="A879" s="2" t="n">
        <v>868</v>
      </c>
      <c r="B879" s="12">
        <f>MAX(0,'Deal Analyzer'!$B$4*(1+NORM.INV(RAND(),0,$J$4)))</f>
        <v/>
      </c>
      <c r="C879" s="12">
        <f>'Deal Analyzer'!$B$5*MAX(0.9,1+NORM.INV(RAND(),$J$5,$J$6))</f>
        <v/>
      </c>
      <c r="D879" s="12">
        <f>'Deal Analyzer'!$B$24+C879+B879*'Deal Analyzer'!$B$11</f>
        <v/>
      </c>
      <c r="E879" s="15">
        <f>IF(B879=0,0,(B879-D879)/B879)</f>
        <v/>
      </c>
      <c r="F879" s="2">
        <f>E879&gt;='Deal Analyzer'!$B$12</f>
        <v/>
      </c>
      <c r="G879" s="12">
        <f>IF(AND(F879,RAND()&lt;$J$7),'Deal Analyzer'!$B$8-'Deal Analyzer'!$B$10,-('Deal Analyzer'!$B$10+'Deal Analyzer'!$B$9*'Deal Analyzer'!$B$14))</f>
        <v/>
      </c>
      <c r="H879" s="2" t="n"/>
      <c r="I879" s="2" t="n"/>
      <c r="J879" s="2" t="n"/>
      <c r="K879" s="2" t="n"/>
    </row>
    <row r="880">
      <c r="A880" s="2" t="n">
        <v>869</v>
      </c>
      <c r="B880" s="12">
        <f>MAX(0,'Deal Analyzer'!$B$4*(1+NORM.INV(RAND(),0,$J$4)))</f>
        <v/>
      </c>
      <c r="C880" s="12">
        <f>'Deal Analyzer'!$B$5*MAX(0.9,1+NORM.INV(RAND(),$J$5,$J$6))</f>
        <v/>
      </c>
      <c r="D880" s="12">
        <f>'Deal Analyzer'!$B$24+C880+B880*'Deal Analyzer'!$B$11</f>
        <v/>
      </c>
      <c r="E880" s="15">
        <f>IF(B880=0,0,(B880-D880)/B880)</f>
        <v/>
      </c>
      <c r="F880" s="2">
        <f>E880&gt;='Deal Analyzer'!$B$12</f>
        <v/>
      </c>
      <c r="G880" s="12">
        <f>IF(AND(F880,RAND()&lt;$J$7),'Deal Analyzer'!$B$8-'Deal Analyzer'!$B$10,-('Deal Analyzer'!$B$10+'Deal Analyzer'!$B$9*'Deal Analyzer'!$B$14))</f>
        <v/>
      </c>
      <c r="H880" s="2" t="n"/>
      <c r="I880" s="2" t="n"/>
      <c r="J880" s="2" t="n"/>
      <c r="K880" s="2" t="n"/>
    </row>
    <row r="881">
      <c r="A881" s="2" t="n">
        <v>870</v>
      </c>
      <c r="B881" s="12">
        <f>MAX(0,'Deal Analyzer'!$B$4*(1+NORM.INV(RAND(),0,$J$4)))</f>
        <v/>
      </c>
      <c r="C881" s="12">
        <f>'Deal Analyzer'!$B$5*MAX(0.9,1+NORM.INV(RAND(),$J$5,$J$6))</f>
        <v/>
      </c>
      <c r="D881" s="12">
        <f>'Deal Analyzer'!$B$24+C881+B881*'Deal Analyzer'!$B$11</f>
        <v/>
      </c>
      <c r="E881" s="15">
        <f>IF(B881=0,0,(B881-D881)/B881)</f>
        <v/>
      </c>
      <c r="F881" s="2">
        <f>E881&gt;='Deal Analyzer'!$B$12</f>
        <v/>
      </c>
      <c r="G881" s="12">
        <f>IF(AND(F881,RAND()&lt;$J$7),'Deal Analyzer'!$B$8-'Deal Analyzer'!$B$10,-('Deal Analyzer'!$B$10+'Deal Analyzer'!$B$9*'Deal Analyzer'!$B$14))</f>
        <v/>
      </c>
      <c r="H881" s="2" t="n"/>
      <c r="I881" s="2" t="n"/>
      <c r="J881" s="2" t="n"/>
      <c r="K881" s="2" t="n"/>
    </row>
    <row r="882">
      <c r="A882" s="2" t="n">
        <v>871</v>
      </c>
      <c r="B882" s="12">
        <f>MAX(0,'Deal Analyzer'!$B$4*(1+NORM.INV(RAND(),0,$J$4)))</f>
        <v/>
      </c>
      <c r="C882" s="12">
        <f>'Deal Analyzer'!$B$5*MAX(0.9,1+NORM.INV(RAND(),$J$5,$J$6))</f>
        <v/>
      </c>
      <c r="D882" s="12">
        <f>'Deal Analyzer'!$B$24+C882+B882*'Deal Analyzer'!$B$11</f>
        <v/>
      </c>
      <c r="E882" s="15">
        <f>IF(B882=0,0,(B882-D882)/B882)</f>
        <v/>
      </c>
      <c r="F882" s="2">
        <f>E882&gt;='Deal Analyzer'!$B$12</f>
        <v/>
      </c>
      <c r="G882" s="12">
        <f>IF(AND(F882,RAND()&lt;$J$7),'Deal Analyzer'!$B$8-'Deal Analyzer'!$B$10,-('Deal Analyzer'!$B$10+'Deal Analyzer'!$B$9*'Deal Analyzer'!$B$14))</f>
        <v/>
      </c>
      <c r="H882" s="2" t="n"/>
      <c r="I882" s="2" t="n"/>
      <c r="J882" s="2" t="n"/>
      <c r="K882" s="2" t="n"/>
    </row>
    <row r="883">
      <c r="A883" s="2" t="n">
        <v>872</v>
      </c>
      <c r="B883" s="12">
        <f>MAX(0,'Deal Analyzer'!$B$4*(1+NORM.INV(RAND(),0,$J$4)))</f>
        <v/>
      </c>
      <c r="C883" s="12">
        <f>'Deal Analyzer'!$B$5*MAX(0.9,1+NORM.INV(RAND(),$J$5,$J$6))</f>
        <v/>
      </c>
      <c r="D883" s="12">
        <f>'Deal Analyzer'!$B$24+C883+B883*'Deal Analyzer'!$B$11</f>
        <v/>
      </c>
      <c r="E883" s="15">
        <f>IF(B883=0,0,(B883-D883)/B883)</f>
        <v/>
      </c>
      <c r="F883" s="2">
        <f>E883&gt;='Deal Analyzer'!$B$12</f>
        <v/>
      </c>
      <c r="G883" s="12">
        <f>IF(AND(F883,RAND()&lt;$J$7),'Deal Analyzer'!$B$8-'Deal Analyzer'!$B$10,-('Deal Analyzer'!$B$10+'Deal Analyzer'!$B$9*'Deal Analyzer'!$B$14))</f>
        <v/>
      </c>
      <c r="H883" s="2" t="n"/>
      <c r="I883" s="2" t="n"/>
      <c r="J883" s="2" t="n"/>
      <c r="K883" s="2" t="n"/>
    </row>
    <row r="884">
      <c r="A884" s="2" t="n">
        <v>873</v>
      </c>
      <c r="B884" s="12">
        <f>MAX(0,'Deal Analyzer'!$B$4*(1+NORM.INV(RAND(),0,$J$4)))</f>
        <v/>
      </c>
      <c r="C884" s="12">
        <f>'Deal Analyzer'!$B$5*MAX(0.9,1+NORM.INV(RAND(),$J$5,$J$6))</f>
        <v/>
      </c>
      <c r="D884" s="12">
        <f>'Deal Analyzer'!$B$24+C884+B884*'Deal Analyzer'!$B$11</f>
        <v/>
      </c>
      <c r="E884" s="15">
        <f>IF(B884=0,0,(B884-D884)/B884)</f>
        <v/>
      </c>
      <c r="F884" s="2">
        <f>E884&gt;='Deal Analyzer'!$B$12</f>
        <v/>
      </c>
      <c r="G884" s="12">
        <f>IF(AND(F884,RAND()&lt;$J$7),'Deal Analyzer'!$B$8-'Deal Analyzer'!$B$10,-('Deal Analyzer'!$B$10+'Deal Analyzer'!$B$9*'Deal Analyzer'!$B$14))</f>
        <v/>
      </c>
      <c r="H884" s="2" t="n"/>
      <c r="I884" s="2" t="n"/>
      <c r="J884" s="2" t="n"/>
      <c r="K884" s="2" t="n"/>
    </row>
    <row r="885">
      <c r="A885" s="2" t="n">
        <v>874</v>
      </c>
      <c r="B885" s="12">
        <f>MAX(0,'Deal Analyzer'!$B$4*(1+NORM.INV(RAND(),0,$J$4)))</f>
        <v/>
      </c>
      <c r="C885" s="12">
        <f>'Deal Analyzer'!$B$5*MAX(0.9,1+NORM.INV(RAND(),$J$5,$J$6))</f>
        <v/>
      </c>
      <c r="D885" s="12">
        <f>'Deal Analyzer'!$B$24+C885+B885*'Deal Analyzer'!$B$11</f>
        <v/>
      </c>
      <c r="E885" s="15">
        <f>IF(B885=0,0,(B885-D885)/B885)</f>
        <v/>
      </c>
      <c r="F885" s="2">
        <f>E885&gt;='Deal Analyzer'!$B$12</f>
        <v/>
      </c>
      <c r="G885" s="12">
        <f>IF(AND(F885,RAND()&lt;$J$7),'Deal Analyzer'!$B$8-'Deal Analyzer'!$B$10,-('Deal Analyzer'!$B$10+'Deal Analyzer'!$B$9*'Deal Analyzer'!$B$14))</f>
        <v/>
      </c>
      <c r="H885" s="2" t="n"/>
      <c r="I885" s="2" t="n"/>
      <c r="J885" s="2" t="n"/>
      <c r="K885" s="2" t="n"/>
    </row>
    <row r="886">
      <c r="A886" s="2" t="n">
        <v>875</v>
      </c>
      <c r="B886" s="12">
        <f>MAX(0,'Deal Analyzer'!$B$4*(1+NORM.INV(RAND(),0,$J$4)))</f>
        <v/>
      </c>
      <c r="C886" s="12">
        <f>'Deal Analyzer'!$B$5*MAX(0.9,1+NORM.INV(RAND(),$J$5,$J$6))</f>
        <v/>
      </c>
      <c r="D886" s="12">
        <f>'Deal Analyzer'!$B$24+C886+B886*'Deal Analyzer'!$B$11</f>
        <v/>
      </c>
      <c r="E886" s="15">
        <f>IF(B886=0,0,(B886-D886)/B886)</f>
        <v/>
      </c>
      <c r="F886" s="2">
        <f>E886&gt;='Deal Analyzer'!$B$12</f>
        <v/>
      </c>
      <c r="G886" s="12">
        <f>IF(AND(F886,RAND()&lt;$J$7),'Deal Analyzer'!$B$8-'Deal Analyzer'!$B$10,-('Deal Analyzer'!$B$10+'Deal Analyzer'!$B$9*'Deal Analyzer'!$B$14))</f>
        <v/>
      </c>
      <c r="H886" s="2" t="n"/>
      <c r="I886" s="2" t="n"/>
      <c r="J886" s="2" t="n"/>
      <c r="K886" s="2" t="n"/>
    </row>
    <row r="887">
      <c r="A887" s="2" t="n">
        <v>876</v>
      </c>
      <c r="B887" s="12">
        <f>MAX(0,'Deal Analyzer'!$B$4*(1+NORM.INV(RAND(),0,$J$4)))</f>
        <v/>
      </c>
      <c r="C887" s="12">
        <f>'Deal Analyzer'!$B$5*MAX(0.9,1+NORM.INV(RAND(),$J$5,$J$6))</f>
        <v/>
      </c>
      <c r="D887" s="12">
        <f>'Deal Analyzer'!$B$24+C887+B887*'Deal Analyzer'!$B$11</f>
        <v/>
      </c>
      <c r="E887" s="15">
        <f>IF(B887=0,0,(B887-D887)/B887)</f>
        <v/>
      </c>
      <c r="F887" s="2">
        <f>E887&gt;='Deal Analyzer'!$B$12</f>
        <v/>
      </c>
      <c r="G887" s="12">
        <f>IF(AND(F887,RAND()&lt;$J$7),'Deal Analyzer'!$B$8-'Deal Analyzer'!$B$10,-('Deal Analyzer'!$B$10+'Deal Analyzer'!$B$9*'Deal Analyzer'!$B$14))</f>
        <v/>
      </c>
      <c r="H887" s="2" t="n"/>
      <c r="I887" s="2" t="n"/>
      <c r="J887" s="2" t="n"/>
      <c r="K887" s="2" t="n"/>
    </row>
    <row r="888">
      <c r="A888" s="2" t="n">
        <v>877</v>
      </c>
      <c r="B888" s="12">
        <f>MAX(0,'Deal Analyzer'!$B$4*(1+NORM.INV(RAND(),0,$J$4)))</f>
        <v/>
      </c>
      <c r="C888" s="12">
        <f>'Deal Analyzer'!$B$5*MAX(0.9,1+NORM.INV(RAND(),$J$5,$J$6))</f>
        <v/>
      </c>
      <c r="D888" s="12">
        <f>'Deal Analyzer'!$B$24+C888+B888*'Deal Analyzer'!$B$11</f>
        <v/>
      </c>
      <c r="E888" s="15">
        <f>IF(B888=0,0,(B888-D888)/B888)</f>
        <v/>
      </c>
      <c r="F888" s="2">
        <f>E888&gt;='Deal Analyzer'!$B$12</f>
        <v/>
      </c>
      <c r="G888" s="12">
        <f>IF(AND(F888,RAND()&lt;$J$7),'Deal Analyzer'!$B$8-'Deal Analyzer'!$B$10,-('Deal Analyzer'!$B$10+'Deal Analyzer'!$B$9*'Deal Analyzer'!$B$14))</f>
        <v/>
      </c>
      <c r="H888" s="2" t="n"/>
      <c r="I888" s="2" t="n"/>
      <c r="J888" s="2" t="n"/>
      <c r="K888" s="2" t="n"/>
    </row>
    <row r="889">
      <c r="A889" s="2" t="n">
        <v>878</v>
      </c>
      <c r="B889" s="12">
        <f>MAX(0,'Deal Analyzer'!$B$4*(1+NORM.INV(RAND(),0,$J$4)))</f>
        <v/>
      </c>
      <c r="C889" s="12">
        <f>'Deal Analyzer'!$B$5*MAX(0.9,1+NORM.INV(RAND(),$J$5,$J$6))</f>
        <v/>
      </c>
      <c r="D889" s="12">
        <f>'Deal Analyzer'!$B$24+C889+B889*'Deal Analyzer'!$B$11</f>
        <v/>
      </c>
      <c r="E889" s="15">
        <f>IF(B889=0,0,(B889-D889)/B889)</f>
        <v/>
      </c>
      <c r="F889" s="2">
        <f>E889&gt;='Deal Analyzer'!$B$12</f>
        <v/>
      </c>
      <c r="G889" s="12">
        <f>IF(AND(F889,RAND()&lt;$J$7),'Deal Analyzer'!$B$8-'Deal Analyzer'!$B$10,-('Deal Analyzer'!$B$10+'Deal Analyzer'!$B$9*'Deal Analyzer'!$B$14))</f>
        <v/>
      </c>
      <c r="H889" s="2" t="n"/>
      <c r="I889" s="2" t="n"/>
      <c r="J889" s="2" t="n"/>
      <c r="K889" s="2" t="n"/>
    </row>
    <row r="890">
      <c r="A890" s="2" t="n">
        <v>879</v>
      </c>
      <c r="B890" s="12">
        <f>MAX(0,'Deal Analyzer'!$B$4*(1+NORM.INV(RAND(),0,$J$4)))</f>
        <v/>
      </c>
      <c r="C890" s="12">
        <f>'Deal Analyzer'!$B$5*MAX(0.9,1+NORM.INV(RAND(),$J$5,$J$6))</f>
        <v/>
      </c>
      <c r="D890" s="12">
        <f>'Deal Analyzer'!$B$24+C890+B890*'Deal Analyzer'!$B$11</f>
        <v/>
      </c>
      <c r="E890" s="15">
        <f>IF(B890=0,0,(B890-D890)/B890)</f>
        <v/>
      </c>
      <c r="F890" s="2">
        <f>E890&gt;='Deal Analyzer'!$B$12</f>
        <v/>
      </c>
      <c r="G890" s="12">
        <f>IF(AND(F890,RAND()&lt;$J$7),'Deal Analyzer'!$B$8-'Deal Analyzer'!$B$10,-('Deal Analyzer'!$B$10+'Deal Analyzer'!$B$9*'Deal Analyzer'!$B$14))</f>
        <v/>
      </c>
      <c r="H890" s="2" t="n"/>
      <c r="I890" s="2" t="n"/>
      <c r="J890" s="2" t="n"/>
      <c r="K890" s="2" t="n"/>
    </row>
    <row r="891">
      <c r="A891" s="2" t="n">
        <v>880</v>
      </c>
      <c r="B891" s="12">
        <f>MAX(0,'Deal Analyzer'!$B$4*(1+NORM.INV(RAND(),0,$J$4)))</f>
        <v/>
      </c>
      <c r="C891" s="12">
        <f>'Deal Analyzer'!$B$5*MAX(0.9,1+NORM.INV(RAND(),$J$5,$J$6))</f>
        <v/>
      </c>
      <c r="D891" s="12">
        <f>'Deal Analyzer'!$B$24+C891+B891*'Deal Analyzer'!$B$11</f>
        <v/>
      </c>
      <c r="E891" s="15">
        <f>IF(B891=0,0,(B891-D891)/B891)</f>
        <v/>
      </c>
      <c r="F891" s="2">
        <f>E891&gt;='Deal Analyzer'!$B$12</f>
        <v/>
      </c>
      <c r="G891" s="12">
        <f>IF(AND(F891,RAND()&lt;$J$7),'Deal Analyzer'!$B$8-'Deal Analyzer'!$B$10,-('Deal Analyzer'!$B$10+'Deal Analyzer'!$B$9*'Deal Analyzer'!$B$14))</f>
        <v/>
      </c>
      <c r="H891" s="2" t="n"/>
      <c r="I891" s="2" t="n"/>
      <c r="J891" s="2" t="n"/>
      <c r="K891" s="2" t="n"/>
    </row>
    <row r="892">
      <c r="A892" s="2" t="n">
        <v>881</v>
      </c>
      <c r="B892" s="12">
        <f>MAX(0,'Deal Analyzer'!$B$4*(1+NORM.INV(RAND(),0,$J$4)))</f>
        <v/>
      </c>
      <c r="C892" s="12">
        <f>'Deal Analyzer'!$B$5*MAX(0.9,1+NORM.INV(RAND(),$J$5,$J$6))</f>
        <v/>
      </c>
      <c r="D892" s="12">
        <f>'Deal Analyzer'!$B$24+C892+B892*'Deal Analyzer'!$B$11</f>
        <v/>
      </c>
      <c r="E892" s="15">
        <f>IF(B892=0,0,(B892-D892)/B892)</f>
        <v/>
      </c>
      <c r="F892" s="2">
        <f>E892&gt;='Deal Analyzer'!$B$12</f>
        <v/>
      </c>
      <c r="G892" s="12">
        <f>IF(AND(F892,RAND()&lt;$J$7),'Deal Analyzer'!$B$8-'Deal Analyzer'!$B$10,-('Deal Analyzer'!$B$10+'Deal Analyzer'!$B$9*'Deal Analyzer'!$B$14))</f>
        <v/>
      </c>
      <c r="H892" s="2" t="n"/>
      <c r="I892" s="2" t="n"/>
      <c r="J892" s="2" t="n"/>
      <c r="K892" s="2" t="n"/>
    </row>
    <row r="893">
      <c r="A893" s="2" t="n">
        <v>882</v>
      </c>
      <c r="B893" s="12">
        <f>MAX(0,'Deal Analyzer'!$B$4*(1+NORM.INV(RAND(),0,$J$4)))</f>
        <v/>
      </c>
      <c r="C893" s="12">
        <f>'Deal Analyzer'!$B$5*MAX(0.9,1+NORM.INV(RAND(),$J$5,$J$6))</f>
        <v/>
      </c>
      <c r="D893" s="12">
        <f>'Deal Analyzer'!$B$24+C893+B893*'Deal Analyzer'!$B$11</f>
        <v/>
      </c>
      <c r="E893" s="15">
        <f>IF(B893=0,0,(B893-D893)/B893)</f>
        <v/>
      </c>
      <c r="F893" s="2">
        <f>E893&gt;='Deal Analyzer'!$B$12</f>
        <v/>
      </c>
      <c r="G893" s="12">
        <f>IF(AND(F893,RAND()&lt;$J$7),'Deal Analyzer'!$B$8-'Deal Analyzer'!$B$10,-('Deal Analyzer'!$B$10+'Deal Analyzer'!$B$9*'Deal Analyzer'!$B$14))</f>
        <v/>
      </c>
      <c r="H893" s="2" t="n"/>
      <c r="I893" s="2" t="n"/>
      <c r="J893" s="2" t="n"/>
      <c r="K893" s="2" t="n"/>
    </row>
    <row r="894">
      <c r="A894" s="2" t="n">
        <v>883</v>
      </c>
      <c r="B894" s="12">
        <f>MAX(0,'Deal Analyzer'!$B$4*(1+NORM.INV(RAND(),0,$J$4)))</f>
        <v/>
      </c>
      <c r="C894" s="12">
        <f>'Deal Analyzer'!$B$5*MAX(0.9,1+NORM.INV(RAND(),$J$5,$J$6))</f>
        <v/>
      </c>
      <c r="D894" s="12">
        <f>'Deal Analyzer'!$B$24+C894+B894*'Deal Analyzer'!$B$11</f>
        <v/>
      </c>
      <c r="E894" s="15">
        <f>IF(B894=0,0,(B894-D894)/B894)</f>
        <v/>
      </c>
      <c r="F894" s="2">
        <f>E894&gt;='Deal Analyzer'!$B$12</f>
        <v/>
      </c>
      <c r="G894" s="12">
        <f>IF(AND(F894,RAND()&lt;$J$7),'Deal Analyzer'!$B$8-'Deal Analyzer'!$B$10,-('Deal Analyzer'!$B$10+'Deal Analyzer'!$B$9*'Deal Analyzer'!$B$14))</f>
        <v/>
      </c>
      <c r="H894" s="2" t="n"/>
      <c r="I894" s="2" t="n"/>
      <c r="J894" s="2" t="n"/>
      <c r="K894" s="2" t="n"/>
    </row>
    <row r="895">
      <c r="A895" s="2" t="n">
        <v>884</v>
      </c>
      <c r="B895" s="12">
        <f>MAX(0,'Deal Analyzer'!$B$4*(1+NORM.INV(RAND(),0,$J$4)))</f>
        <v/>
      </c>
      <c r="C895" s="12">
        <f>'Deal Analyzer'!$B$5*MAX(0.9,1+NORM.INV(RAND(),$J$5,$J$6))</f>
        <v/>
      </c>
      <c r="D895" s="12">
        <f>'Deal Analyzer'!$B$24+C895+B895*'Deal Analyzer'!$B$11</f>
        <v/>
      </c>
      <c r="E895" s="15">
        <f>IF(B895=0,0,(B895-D895)/B895)</f>
        <v/>
      </c>
      <c r="F895" s="2">
        <f>E895&gt;='Deal Analyzer'!$B$12</f>
        <v/>
      </c>
      <c r="G895" s="12">
        <f>IF(AND(F895,RAND()&lt;$J$7),'Deal Analyzer'!$B$8-'Deal Analyzer'!$B$10,-('Deal Analyzer'!$B$10+'Deal Analyzer'!$B$9*'Deal Analyzer'!$B$14))</f>
        <v/>
      </c>
      <c r="H895" s="2" t="n"/>
      <c r="I895" s="2" t="n"/>
      <c r="J895" s="2" t="n"/>
      <c r="K895" s="2" t="n"/>
    </row>
    <row r="896">
      <c r="A896" s="2" t="n">
        <v>885</v>
      </c>
      <c r="B896" s="12">
        <f>MAX(0,'Deal Analyzer'!$B$4*(1+NORM.INV(RAND(),0,$J$4)))</f>
        <v/>
      </c>
      <c r="C896" s="12">
        <f>'Deal Analyzer'!$B$5*MAX(0.9,1+NORM.INV(RAND(),$J$5,$J$6))</f>
        <v/>
      </c>
      <c r="D896" s="12">
        <f>'Deal Analyzer'!$B$24+C896+B896*'Deal Analyzer'!$B$11</f>
        <v/>
      </c>
      <c r="E896" s="15">
        <f>IF(B896=0,0,(B896-D896)/B896)</f>
        <v/>
      </c>
      <c r="F896" s="2">
        <f>E896&gt;='Deal Analyzer'!$B$12</f>
        <v/>
      </c>
      <c r="G896" s="12">
        <f>IF(AND(F896,RAND()&lt;$J$7),'Deal Analyzer'!$B$8-'Deal Analyzer'!$B$10,-('Deal Analyzer'!$B$10+'Deal Analyzer'!$B$9*'Deal Analyzer'!$B$14))</f>
        <v/>
      </c>
      <c r="H896" s="2" t="n"/>
      <c r="I896" s="2" t="n"/>
      <c r="J896" s="2" t="n"/>
      <c r="K896" s="2" t="n"/>
    </row>
    <row r="897">
      <c r="A897" s="2" t="n">
        <v>886</v>
      </c>
      <c r="B897" s="12">
        <f>MAX(0,'Deal Analyzer'!$B$4*(1+NORM.INV(RAND(),0,$J$4)))</f>
        <v/>
      </c>
      <c r="C897" s="12">
        <f>'Deal Analyzer'!$B$5*MAX(0.9,1+NORM.INV(RAND(),$J$5,$J$6))</f>
        <v/>
      </c>
      <c r="D897" s="12">
        <f>'Deal Analyzer'!$B$24+C897+B897*'Deal Analyzer'!$B$11</f>
        <v/>
      </c>
      <c r="E897" s="15">
        <f>IF(B897=0,0,(B897-D897)/B897)</f>
        <v/>
      </c>
      <c r="F897" s="2">
        <f>E897&gt;='Deal Analyzer'!$B$12</f>
        <v/>
      </c>
      <c r="G897" s="12">
        <f>IF(AND(F897,RAND()&lt;$J$7),'Deal Analyzer'!$B$8-'Deal Analyzer'!$B$10,-('Deal Analyzer'!$B$10+'Deal Analyzer'!$B$9*'Deal Analyzer'!$B$14))</f>
        <v/>
      </c>
      <c r="H897" s="2" t="n"/>
      <c r="I897" s="2" t="n"/>
      <c r="J897" s="2" t="n"/>
      <c r="K897" s="2" t="n"/>
    </row>
    <row r="898">
      <c r="A898" s="2" t="n">
        <v>887</v>
      </c>
      <c r="B898" s="12">
        <f>MAX(0,'Deal Analyzer'!$B$4*(1+NORM.INV(RAND(),0,$J$4)))</f>
        <v/>
      </c>
      <c r="C898" s="12">
        <f>'Deal Analyzer'!$B$5*MAX(0.9,1+NORM.INV(RAND(),$J$5,$J$6))</f>
        <v/>
      </c>
      <c r="D898" s="12">
        <f>'Deal Analyzer'!$B$24+C898+B898*'Deal Analyzer'!$B$11</f>
        <v/>
      </c>
      <c r="E898" s="15">
        <f>IF(B898=0,0,(B898-D898)/B898)</f>
        <v/>
      </c>
      <c r="F898" s="2">
        <f>E898&gt;='Deal Analyzer'!$B$12</f>
        <v/>
      </c>
      <c r="G898" s="12">
        <f>IF(AND(F898,RAND()&lt;$J$7),'Deal Analyzer'!$B$8-'Deal Analyzer'!$B$10,-('Deal Analyzer'!$B$10+'Deal Analyzer'!$B$9*'Deal Analyzer'!$B$14))</f>
        <v/>
      </c>
      <c r="H898" s="2" t="n"/>
      <c r="I898" s="2" t="n"/>
      <c r="J898" s="2" t="n"/>
      <c r="K898" s="2" t="n"/>
    </row>
    <row r="899">
      <c r="A899" s="2" t="n">
        <v>888</v>
      </c>
      <c r="B899" s="12">
        <f>MAX(0,'Deal Analyzer'!$B$4*(1+NORM.INV(RAND(),0,$J$4)))</f>
        <v/>
      </c>
      <c r="C899" s="12">
        <f>'Deal Analyzer'!$B$5*MAX(0.9,1+NORM.INV(RAND(),$J$5,$J$6))</f>
        <v/>
      </c>
      <c r="D899" s="12">
        <f>'Deal Analyzer'!$B$24+C899+B899*'Deal Analyzer'!$B$11</f>
        <v/>
      </c>
      <c r="E899" s="15">
        <f>IF(B899=0,0,(B899-D899)/B899)</f>
        <v/>
      </c>
      <c r="F899" s="2">
        <f>E899&gt;='Deal Analyzer'!$B$12</f>
        <v/>
      </c>
      <c r="G899" s="12">
        <f>IF(AND(F899,RAND()&lt;$J$7),'Deal Analyzer'!$B$8-'Deal Analyzer'!$B$10,-('Deal Analyzer'!$B$10+'Deal Analyzer'!$B$9*'Deal Analyzer'!$B$14))</f>
        <v/>
      </c>
      <c r="H899" s="2" t="n"/>
      <c r="I899" s="2" t="n"/>
      <c r="J899" s="2" t="n"/>
      <c r="K899" s="2" t="n"/>
    </row>
    <row r="900">
      <c r="A900" s="2" t="n">
        <v>889</v>
      </c>
      <c r="B900" s="12">
        <f>MAX(0,'Deal Analyzer'!$B$4*(1+NORM.INV(RAND(),0,$J$4)))</f>
        <v/>
      </c>
      <c r="C900" s="12">
        <f>'Deal Analyzer'!$B$5*MAX(0.9,1+NORM.INV(RAND(),$J$5,$J$6))</f>
        <v/>
      </c>
      <c r="D900" s="12">
        <f>'Deal Analyzer'!$B$24+C900+B900*'Deal Analyzer'!$B$11</f>
        <v/>
      </c>
      <c r="E900" s="15">
        <f>IF(B900=0,0,(B900-D900)/B900)</f>
        <v/>
      </c>
      <c r="F900" s="2">
        <f>E900&gt;='Deal Analyzer'!$B$12</f>
        <v/>
      </c>
      <c r="G900" s="12">
        <f>IF(AND(F900,RAND()&lt;$J$7),'Deal Analyzer'!$B$8-'Deal Analyzer'!$B$10,-('Deal Analyzer'!$B$10+'Deal Analyzer'!$B$9*'Deal Analyzer'!$B$14))</f>
        <v/>
      </c>
      <c r="H900" s="2" t="n"/>
      <c r="I900" s="2" t="n"/>
      <c r="J900" s="2" t="n"/>
      <c r="K900" s="2" t="n"/>
    </row>
    <row r="901">
      <c r="A901" s="2" t="n">
        <v>890</v>
      </c>
      <c r="B901" s="12">
        <f>MAX(0,'Deal Analyzer'!$B$4*(1+NORM.INV(RAND(),0,$J$4)))</f>
        <v/>
      </c>
      <c r="C901" s="12">
        <f>'Deal Analyzer'!$B$5*MAX(0.9,1+NORM.INV(RAND(),$J$5,$J$6))</f>
        <v/>
      </c>
      <c r="D901" s="12">
        <f>'Deal Analyzer'!$B$24+C901+B901*'Deal Analyzer'!$B$11</f>
        <v/>
      </c>
      <c r="E901" s="15">
        <f>IF(B901=0,0,(B901-D901)/B901)</f>
        <v/>
      </c>
      <c r="F901" s="2">
        <f>E901&gt;='Deal Analyzer'!$B$12</f>
        <v/>
      </c>
      <c r="G901" s="12">
        <f>IF(AND(F901,RAND()&lt;$J$7),'Deal Analyzer'!$B$8-'Deal Analyzer'!$B$10,-('Deal Analyzer'!$B$10+'Deal Analyzer'!$B$9*'Deal Analyzer'!$B$14))</f>
        <v/>
      </c>
      <c r="H901" s="2" t="n"/>
      <c r="I901" s="2" t="n"/>
      <c r="J901" s="2" t="n"/>
      <c r="K901" s="2" t="n"/>
    </row>
    <row r="902">
      <c r="A902" s="2" t="n">
        <v>891</v>
      </c>
      <c r="B902" s="12">
        <f>MAX(0,'Deal Analyzer'!$B$4*(1+NORM.INV(RAND(),0,$J$4)))</f>
        <v/>
      </c>
      <c r="C902" s="12">
        <f>'Deal Analyzer'!$B$5*MAX(0.9,1+NORM.INV(RAND(),$J$5,$J$6))</f>
        <v/>
      </c>
      <c r="D902" s="12">
        <f>'Deal Analyzer'!$B$24+C902+B902*'Deal Analyzer'!$B$11</f>
        <v/>
      </c>
      <c r="E902" s="15">
        <f>IF(B902=0,0,(B902-D902)/B902)</f>
        <v/>
      </c>
      <c r="F902" s="2">
        <f>E902&gt;='Deal Analyzer'!$B$12</f>
        <v/>
      </c>
      <c r="G902" s="12">
        <f>IF(AND(F902,RAND()&lt;$J$7),'Deal Analyzer'!$B$8-'Deal Analyzer'!$B$10,-('Deal Analyzer'!$B$10+'Deal Analyzer'!$B$9*'Deal Analyzer'!$B$14))</f>
        <v/>
      </c>
      <c r="H902" s="2" t="n"/>
      <c r="I902" s="2" t="n"/>
      <c r="J902" s="2" t="n"/>
      <c r="K902" s="2" t="n"/>
    </row>
    <row r="903">
      <c r="A903" s="2" t="n">
        <v>892</v>
      </c>
      <c r="B903" s="12">
        <f>MAX(0,'Deal Analyzer'!$B$4*(1+NORM.INV(RAND(),0,$J$4)))</f>
        <v/>
      </c>
      <c r="C903" s="12">
        <f>'Deal Analyzer'!$B$5*MAX(0.9,1+NORM.INV(RAND(),$J$5,$J$6))</f>
        <v/>
      </c>
      <c r="D903" s="12">
        <f>'Deal Analyzer'!$B$24+C903+B903*'Deal Analyzer'!$B$11</f>
        <v/>
      </c>
      <c r="E903" s="15">
        <f>IF(B903=0,0,(B903-D903)/B903)</f>
        <v/>
      </c>
      <c r="F903" s="2">
        <f>E903&gt;='Deal Analyzer'!$B$12</f>
        <v/>
      </c>
      <c r="G903" s="12">
        <f>IF(AND(F903,RAND()&lt;$J$7),'Deal Analyzer'!$B$8-'Deal Analyzer'!$B$10,-('Deal Analyzer'!$B$10+'Deal Analyzer'!$B$9*'Deal Analyzer'!$B$14))</f>
        <v/>
      </c>
      <c r="H903" s="2" t="n"/>
      <c r="I903" s="2" t="n"/>
      <c r="J903" s="2" t="n"/>
      <c r="K903" s="2" t="n"/>
    </row>
    <row r="904">
      <c r="A904" s="2" t="n">
        <v>893</v>
      </c>
      <c r="B904" s="12">
        <f>MAX(0,'Deal Analyzer'!$B$4*(1+NORM.INV(RAND(),0,$J$4)))</f>
        <v/>
      </c>
      <c r="C904" s="12">
        <f>'Deal Analyzer'!$B$5*MAX(0.9,1+NORM.INV(RAND(),$J$5,$J$6))</f>
        <v/>
      </c>
      <c r="D904" s="12">
        <f>'Deal Analyzer'!$B$24+C904+B904*'Deal Analyzer'!$B$11</f>
        <v/>
      </c>
      <c r="E904" s="15">
        <f>IF(B904=0,0,(B904-D904)/B904)</f>
        <v/>
      </c>
      <c r="F904" s="2">
        <f>E904&gt;='Deal Analyzer'!$B$12</f>
        <v/>
      </c>
      <c r="G904" s="12">
        <f>IF(AND(F904,RAND()&lt;$J$7),'Deal Analyzer'!$B$8-'Deal Analyzer'!$B$10,-('Deal Analyzer'!$B$10+'Deal Analyzer'!$B$9*'Deal Analyzer'!$B$14))</f>
        <v/>
      </c>
      <c r="H904" s="2" t="n"/>
      <c r="I904" s="2" t="n"/>
      <c r="J904" s="2" t="n"/>
      <c r="K904" s="2" t="n"/>
    </row>
    <row r="905">
      <c r="A905" s="2" t="n">
        <v>894</v>
      </c>
      <c r="B905" s="12">
        <f>MAX(0,'Deal Analyzer'!$B$4*(1+NORM.INV(RAND(),0,$J$4)))</f>
        <v/>
      </c>
      <c r="C905" s="12">
        <f>'Deal Analyzer'!$B$5*MAX(0.9,1+NORM.INV(RAND(),$J$5,$J$6))</f>
        <v/>
      </c>
      <c r="D905" s="12">
        <f>'Deal Analyzer'!$B$24+C905+B905*'Deal Analyzer'!$B$11</f>
        <v/>
      </c>
      <c r="E905" s="15">
        <f>IF(B905=0,0,(B905-D905)/B905)</f>
        <v/>
      </c>
      <c r="F905" s="2">
        <f>E905&gt;='Deal Analyzer'!$B$12</f>
        <v/>
      </c>
      <c r="G905" s="12">
        <f>IF(AND(F905,RAND()&lt;$J$7),'Deal Analyzer'!$B$8-'Deal Analyzer'!$B$10,-('Deal Analyzer'!$B$10+'Deal Analyzer'!$B$9*'Deal Analyzer'!$B$14))</f>
        <v/>
      </c>
      <c r="H905" s="2" t="n"/>
      <c r="I905" s="2" t="n"/>
      <c r="J905" s="2" t="n"/>
      <c r="K905" s="2" t="n"/>
    </row>
    <row r="906">
      <c r="A906" s="2" t="n">
        <v>895</v>
      </c>
      <c r="B906" s="12">
        <f>MAX(0,'Deal Analyzer'!$B$4*(1+NORM.INV(RAND(),0,$J$4)))</f>
        <v/>
      </c>
      <c r="C906" s="12">
        <f>'Deal Analyzer'!$B$5*MAX(0.9,1+NORM.INV(RAND(),$J$5,$J$6))</f>
        <v/>
      </c>
      <c r="D906" s="12">
        <f>'Deal Analyzer'!$B$24+C906+B906*'Deal Analyzer'!$B$11</f>
        <v/>
      </c>
      <c r="E906" s="15">
        <f>IF(B906=0,0,(B906-D906)/B906)</f>
        <v/>
      </c>
      <c r="F906" s="2">
        <f>E906&gt;='Deal Analyzer'!$B$12</f>
        <v/>
      </c>
      <c r="G906" s="12">
        <f>IF(AND(F906,RAND()&lt;$J$7),'Deal Analyzer'!$B$8-'Deal Analyzer'!$B$10,-('Deal Analyzer'!$B$10+'Deal Analyzer'!$B$9*'Deal Analyzer'!$B$14))</f>
        <v/>
      </c>
      <c r="H906" s="2" t="n"/>
      <c r="I906" s="2" t="n"/>
      <c r="J906" s="2" t="n"/>
      <c r="K906" s="2" t="n"/>
    </row>
    <row r="907">
      <c r="A907" s="2" t="n">
        <v>896</v>
      </c>
      <c r="B907" s="12">
        <f>MAX(0,'Deal Analyzer'!$B$4*(1+NORM.INV(RAND(),0,$J$4)))</f>
        <v/>
      </c>
      <c r="C907" s="12">
        <f>'Deal Analyzer'!$B$5*MAX(0.9,1+NORM.INV(RAND(),$J$5,$J$6))</f>
        <v/>
      </c>
      <c r="D907" s="12">
        <f>'Deal Analyzer'!$B$24+C907+B907*'Deal Analyzer'!$B$11</f>
        <v/>
      </c>
      <c r="E907" s="15">
        <f>IF(B907=0,0,(B907-D907)/B907)</f>
        <v/>
      </c>
      <c r="F907" s="2">
        <f>E907&gt;='Deal Analyzer'!$B$12</f>
        <v/>
      </c>
      <c r="G907" s="12">
        <f>IF(AND(F907,RAND()&lt;$J$7),'Deal Analyzer'!$B$8-'Deal Analyzer'!$B$10,-('Deal Analyzer'!$B$10+'Deal Analyzer'!$B$9*'Deal Analyzer'!$B$14))</f>
        <v/>
      </c>
      <c r="H907" s="2" t="n"/>
      <c r="I907" s="2" t="n"/>
      <c r="J907" s="2" t="n"/>
      <c r="K907" s="2" t="n"/>
    </row>
    <row r="908">
      <c r="A908" s="2" t="n">
        <v>897</v>
      </c>
      <c r="B908" s="12">
        <f>MAX(0,'Deal Analyzer'!$B$4*(1+NORM.INV(RAND(),0,$J$4)))</f>
        <v/>
      </c>
      <c r="C908" s="12">
        <f>'Deal Analyzer'!$B$5*MAX(0.9,1+NORM.INV(RAND(),$J$5,$J$6))</f>
        <v/>
      </c>
      <c r="D908" s="12">
        <f>'Deal Analyzer'!$B$24+C908+B908*'Deal Analyzer'!$B$11</f>
        <v/>
      </c>
      <c r="E908" s="15">
        <f>IF(B908=0,0,(B908-D908)/B908)</f>
        <v/>
      </c>
      <c r="F908" s="2">
        <f>E908&gt;='Deal Analyzer'!$B$12</f>
        <v/>
      </c>
      <c r="G908" s="12">
        <f>IF(AND(F908,RAND()&lt;$J$7),'Deal Analyzer'!$B$8-'Deal Analyzer'!$B$10,-('Deal Analyzer'!$B$10+'Deal Analyzer'!$B$9*'Deal Analyzer'!$B$14))</f>
        <v/>
      </c>
      <c r="H908" s="2" t="n"/>
      <c r="I908" s="2" t="n"/>
      <c r="J908" s="2" t="n"/>
      <c r="K908" s="2" t="n"/>
    </row>
    <row r="909">
      <c r="A909" s="2" t="n">
        <v>898</v>
      </c>
      <c r="B909" s="12">
        <f>MAX(0,'Deal Analyzer'!$B$4*(1+NORM.INV(RAND(),0,$J$4)))</f>
        <v/>
      </c>
      <c r="C909" s="12">
        <f>'Deal Analyzer'!$B$5*MAX(0.9,1+NORM.INV(RAND(),$J$5,$J$6))</f>
        <v/>
      </c>
      <c r="D909" s="12">
        <f>'Deal Analyzer'!$B$24+C909+B909*'Deal Analyzer'!$B$11</f>
        <v/>
      </c>
      <c r="E909" s="15">
        <f>IF(B909=0,0,(B909-D909)/B909)</f>
        <v/>
      </c>
      <c r="F909" s="2">
        <f>E909&gt;='Deal Analyzer'!$B$12</f>
        <v/>
      </c>
      <c r="G909" s="12">
        <f>IF(AND(F909,RAND()&lt;$J$7),'Deal Analyzer'!$B$8-'Deal Analyzer'!$B$10,-('Deal Analyzer'!$B$10+'Deal Analyzer'!$B$9*'Deal Analyzer'!$B$14))</f>
        <v/>
      </c>
      <c r="H909" s="2" t="n"/>
      <c r="I909" s="2" t="n"/>
      <c r="J909" s="2" t="n"/>
      <c r="K909" s="2" t="n"/>
    </row>
    <row r="910">
      <c r="A910" s="2" t="n">
        <v>899</v>
      </c>
      <c r="B910" s="12">
        <f>MAX(0,'Deal Analyzer'!$B$4*(1+NORM.INV(RAND(),0,$J$4)))</f>
        <v/>
      </c>
      <c r="C910" s="12">
        <f>'Deal Analyzer'!$B$5*MAX(0.9,1+NORM.INV(RAND(),$J$5,$J$6))</f>
        <v/>
      </c>
      <c r="D910" s="12">
        <f>'Deal Analyzer'!$B$24+C910+B910*'Deal Analyzer'!$B$11</f>
        <v/>
      </c>
      <c r="E910" s="15">
        <f>IF(B910=0,0,(B910-D910)/B910)</f>
        <v/>
      </c>
      <c r="F910" s="2">
        <f>E910&gt;='Deal Analyzer'!$B$12</f>
        <v/>
      </c>
      <c r="G910" s="12">
        <f>IF(AND(F910,RAND()&lt;$J$7),'Deal Analyzer'!$B$8-'Deal Analyzer'!$B$10,-('Deal Analyzer'!$B$10+'Deal Analyzer'!$B$9*'Deal Analyzer'!$B$14))</f>
        <v/>
      </c>
      <c r="H910" s="2" t="n"/>
      <c r="I910" s="2" t="n"/>
      <c r="J910" s="2" t="n"/>
      <c r="K910" s="2" t="n"/>
    </row>
    <row r="911">
      <c r="A911" s="2" t="n">
        <v>900</v>
      </c>
      <c r="B911" s="12">
        <f>MAX(0,'Deal Analyzer'!$B$4*(1+NORM.INV(RAND(),0,$J$4)))</f>
        <v/>
      </c>
      <c r="C911" s="12">
        <f>'Deal Analyzer'!$B$5*MAX(0.9,1+NORM.INV(RAND(),$J$5,$J$6))</f>
        <v/>
      </c>
      <c r="D911" s="12">
        <f>'Deal Analyzer'!$B$24+C911+B911*'Deal Analyzer'!$B$11</f>
        <v/>
      </c>
      <c r="E911" s="15">
        <f>IF(B911=0,0,(B911-D911)/B911)</f>
        <v/>
      </c>
      <c r="F911" s="2">
        <f>E911&gt;='Deal Analyzer'!$B$12</f>
        <v/>
      </c>
      <c r="G911" s="12">
        <f>IF(AND(F911,RAND()&lt;$J$7),'Deal Analyzer'!$B$8-'Deal Analyzer'!$B$10,-('Deal Analyzer'!$B$10+'Deal Analyzer'!$B$9*'Deal Analyzer'!$B$14))</f>
        <v/>
      </c>
      <c r="H911" s="2" t="n"/>
      <c r="I911" s="2" t="n"/>
      <c r="J911" s="2" t="n"/>
      <c r="K911" s="2" t="n"/>
    </row>
    <row r="912">
      <c r="A912" s="2" t="n">
        <v>901</v>
      </c>
      <c r="B912" s="12">
        <f>MAX(0,'Deal Analyzer'!$B$4*(1+NORM.INV(RAND(),0,$J$4)))</f>
        <v/>
      </c>
      <c r="C912" s="12">
        <f>'Deal Analyzer'!$B$5*MAX(0.9,1+NORM.INV(RAND(),$J$5,$J$6))</f>
        <v/>
      </c>
      <c r="D912" s="12">
        <f>'Deal Analyzer'!$B$24+C912+B912*'Deal Analyzer'!$B$11</f>
        <v/>
      </c>
      <c r="E912" s="15">
        <f>IF(B912=0,0,(B912-D912)/B912)</f>
        <v/>
      </c>
      <c r="F912" s="2">
        <f>E912&gt;='Deal Analyzer'!$B$12</f>
        <v/>
      </c>
      <c r="G912" s="12">
        <f>IF(AND(F912,RAND()&lt;$J$7),'Deal Analyzer'!$B$8-'Deal Analyzer'!$B$10,-('Deal Analyzer'!$B$10+'Deal Analyzer'!$B$9*'Deal Analyzer'!$B$14))</f>
        <v/>
      </c>
      <c r="H912" s="2" t="n"/>
      <c r="I912" s="2" t="n"/>
      <c r="J912" s="2" t="n"/>
      <c r="K912" s="2" t="n"/>
    </row>
    <row r="913">
      <c r="A913" s="2" t="n">
        <v>902</v>
      </c>
      <c r="B913" s="12">
        <f>MAX(0,'Deal Analyzer'!$B$4*(1+NORM.INV(RAND(),0,$J$4)))</f>
        <v/>
      </c>
      <c r="C913" s="12">
        <f>'Deal Analyzer'!$B$5*MAX(0.9,1+NORM.INV(RAND(),$J$5,$J$6))</f>
        <v/>
      </c>
      <c r="D913" s="12">
        <f>'Deal Analyzer'!$B$24+C913+B913*'Deal Analyzer'!$B$11</f>
        <v/>
      </c>
      <c r="E913" s="15">
        <f>IF(B913=0,0,(B913-D913)/B913)</f>
        <v/>
      </c>
      <c r="F913" s="2">
        <f>E913&gt;='Deal Analyzer'!$B$12</f>
        <v/>
      </c>
      <c r="G913" s="12">
        <f>IF(AND(F913,RAND()&lt;$J$7),'Deal Analyzer'!$B$8-'Deal Analyzer'!$B$10,-('Deal Analyzer'!$B$10+'Deal Analyzer'!$B$9*'Deal Analyzer'!$B$14))</f>
        <v/>
      </c>
      <c r="H913" s="2" t="n"/>
      <c r="I913" s="2" t="n"/>
      <c r="J913" s="2" t="n"/>
      <c r="K913" s="2" t="n"/>
    </row>
    <row r="914">
      <c r="A914" s="2" t="n">
        <v>903</v>
      </c>
      <c r="B914" s="12">
        <f>MAX(0,'Deal Analyzer'!$B$4*(1+NORM.INV(RAND(),0,$J$4)))</f>
        <v/>
      </c>
      <c r="C914" s="12">
        <f>'Deal Analyzer'!$B$5*MAX(0.9,1+NORM.INV(RAND(),$J$5,$J$6))</f>
        <v/>
      </c>
      <c r="D914" s="12">
        <f>'Deal Analyzer'!$B$24+C914+B914*'Deal Analyzer'!$B$11</f>
        <v/>
      </c>
      <c r="E914" s="15">
        <f>IF(B914=0,0,(B914-D914)/B914)</f>
        <v/>
      </c>
      <c r="F914" s="2">
        <f>E914&gt;='Deal Analyzer'!$B$12</f>
        <v/>
      </c>
      <c r="G914" s="12">
        <f>IF(AND(F914,RAND()&lt;$J$7),'Deal Analyzer'!$B$8-'Deal Analyzer'!$B$10,-('Deal Analyzer'!$B$10+'Deal Analyzer'!$B$9*'Deal Analyzer'!$B$14))</f>
        <v/>
      </c>
      <c r="H914" s="2" t="n"/>
      <c r="I914" s="2" t="n"/>
      <c r="J914" s="2" t="n"/>
      <c r="K914" s="2" t="n"/>
    </row>
    <row r="915">
      <c r="A915" s="2" t="n">
        <v>904</v>
      </c>
      <c r="B915" s="12">
        <f>MAX(0,'Deal Analyzer'!$B$4*(1+NORM.INV(RAND(),0,$J$4)))</f>
        <v/>
      </c>
      <c r="C915" s="12">
        <f>'Deal Analyzer'!$B$5*MAX(0.9,1+NORM.INV(RAND(),$J$5,$J$6))</f>
        <v/>
      </c>
      <c r="D915" s="12">
        <f>'Deal Analyzer'!$B$24+C915+B915*'Deal Analyzer'!$B$11</f>
        <v/>
      </c>
      <c r="E915" s="15">
        <f>IF(B915=0,0,(B915-D915)/B915)</f>
        <v/>
      </c>
      <c r="F915" s="2">
        <f>E915&gt;='Deal Analyzer'!$B$12</f>
        <v/>
      </c>
      <c r="G915" s="12">
        <f>IF(AND(F915,RAND()&lt;$J$7),'Deal Analyzer'!$B$8-'Deal Analyzer'!$B$10,-('Deal Analyzer'!$B$10+'Deal Analyzer'!$B$9*'Deal Analyzer'!$B$14))</f>
        <v/>
      </c>
      <c r="H915" s="2" t="n"/>
      <c r="I915" s="2" t="n"/>
      <c r="J915" s="2" t="n"/>
      <c r="K915" s="2" t="n"/>
    </row>
    <row r="916">
      <c r="A916" s="2" t="n">
        <v>905</v>
      </c>
      <c r="B916" s="12">
        <f>MAX(0,'Deal Analyzer'!$B$4*(1+NORM.INV(RAND(),0,$J$4)))</f>
        <v/>
      </c>
      <c r="C916" s="12">
        <f>'Deal Analyzer'!$B$5*MAX(0.9,1+NORM.INV(RAND(),$J$5,$J$6))</f>
        <v/>
      </c>
      <c r="D916" s="12">
        <f>'Deal Analyzer'!$B$24+C916+B916*'Deal Analyzer'!$B$11</f>
        <v/>
      </c>
      <c r="E916" s="15">
        <f>IF(B916=0,0,(B916-D916)/B916)</f>
        <v/>
      </c>
      <c r="F916" s="2">
        <f>E916&gt;='Deal Analyzer'!$B$12</f>
        <v/>
      </c>
      <c r="G916" s="12">
        <f>IF(AND(F916,RAND()&lt;$J$7),'Deal Analyzer'!$B$8-'Deal Analyzer'!$B$10,-('Deal Analyzer'!$B$10+'Deal Analyzer'!$B$9*'Deal Analyzer'!$B$14))</f>
        <v/>
      </c>
      <c r="H916" s="2" t="n"/>
      <c r="I916" s="2" t="n"/>
      <c r="J916" s="2" t="n"/>
      <c r="K916" s="2" t="n"/>
    </row>
    <row r="917">
      <c r="A917" s="2" t="n">
        <v>906</v>
      </c>
      <c r="B917" s="12">
        <f>MAX(0,'Deal Analyzer'!$B$4*(1+NORM.INV(RAND(),0,$J$4)))</f>
        <v/>
      </c>
      <c r="C917" s="12">
        <f>'Deal Analyzer'!$B$5*MAX(0.9,1+NORM.INV(RAND(),$J$5,$J$6))</f>
        <v/>
      </c>
      <c r="D917" s="12">
        <f>'Deal Analyzer'!$B$24+C917+B917*'Deal Analyzer'!$B$11</f>
        <v/>
      </c>
      <c r="E917" s="15">
        <f>IF(B917=0,0,(B917-D917)/B917)</f>
        <v/>
      </c>
      <c r="F917" s="2">
        <f>E917&gt;='Deal Analyzer'!$B$12</f>
        <v/>
      </c>
      <c r="G917" s="12">
        <f>IF(AND(F917,RAND()&lt;$J$7),'Deal Analyzer'!$B$8-'Deal Analyzer'!$B$10,-('Deal Analyzer'!$B$10+'Deal Analyzer'!$B$9*'Deal Analyzer'!$B$14))</f>
        <v/>
      </c>
      <c r="H917" s="2" t="n"/>
      <c r="I917" s="2" t="n"/>
      <c r="J917" s="2" t="n"/>
      <c r="K917" s="2" t="n"/>
    </row>
    <row r="918">
      <c r="A918" s="2" t="n">
        <v>907</v>
      </c>
      <c r="B918" s="12">
        <f>MAX(0,'Deal Analyzer'!$B$4*(1+NORM.INV(RAND(),0,$J$4)))</f>
        <v/>
      </c>
      <c r="C918" s="12">
        <f>'Deal Analyzer'!$B$5*MAX(0.9,1+NORM.INV(RAND(),$J$5,$J$6))</f>
        <v/>
      </c>
      <c r="D918" s="12">
        <f>'Deal Analyzer'!$B$24+C918+B918*'Deal Analyzer'!$B$11</f>
        <v/>
      </c>
      <c r="E918" s="15">
        <f>IF(B918=0,0,(B918-D918)/B918)</f>
        <v/>
      </c>
      <c r="F918" s="2">
        <f>E918&gt;='Deal Analyzer'!$B$12</f>
        <v/>
      </c>
      <c r="G918" s="12">
        <f>IF(AND(F918,RAND()&lt;$J$7),'Deal Analyzer'!$B$8-'Deal Analyzer'!$B$10,-('Deal Analyzer'!$B$10+'Deal Analyzer'!$B$9*'Deal Analyzer'!$B$14))</f>
        <v/>
      </c>
      <c r="H918" s="2" t="n"/>
      <c r="I918" s="2" t="n"/>
      <c r="J918" s="2" t="n"/>
      <c r="K918" s="2" t="n"/>
    </row>
    <row r="919">
      <c r="A919" s="2" t="n">
        <v>908</v>
      </c>
      <c r="B919" s="12">
        <f>MAX(0,'Deal Analyzer'!$B$4*(1+NORM.INV(RAND(),0,$J$4)))</f>
        <v/>
      </c>
      <c r="C919" s="12">
        <f>'Deal Analyzer'!$B$5*MAX(0.9,1+NORM.INV(RAND(),$J$5,$J$6))</f>
        <v/>
      </c>
      <c r="D919" s="12">
        <f>'Deal Analyzer'!$B$24+C919+B919*'Deal Analyzer'!$B$11</f>
        <v/>
      </c>
      <c r="E919" s="15">
        <f>IF(B919=0,0,(B919-D919)/B919)</f>
        <v/>
      </c>
      <c r="F919" s="2">
        <f>E919&gt;='Deal Analyzer'!$B$12</f>
        <v/>
      </c>
      <c r="G919" s="12">
        <f>IF(AND(F919,RAND()&lt;$J$7),'Deal Analyzer'!$B$8-'Deal Analyzer'!$B$10,-('Deal Analyzer'!$B$10+'Deal Analyzer'!$B$9*'Deal Analyzer'!$B$14))</f>
        <v/>
      </c>
      <c r="H919" s="2" t="n"/>
      <c r="I919" s="2" t="n"/>
      <c r="J919" s="2" t="n"/>
      <c r="K919" s="2" t="n"/>
    </row>
    <row r="920">
      <c r="A920" s="2" t="n">
        <v>909</v>
      </c>
      <c r="B920" s="12">
        <f>MAX(0,'Deal Analyzer'!$B$4*(1+NORM.INV(RAND(),0,$J$4)))</f>
        <v/>
      </c>
      <c r="C920" s="12">
        <f>'Deal Analyzer'!$B$5*MAX(0.9,1+NORM.INV(RAND(),$J$5,$J$6))</f>
        <v/>
      </c>
      <c r="D920" s="12">
        <f>'Deal Analyzer'!$B$24+C920+B920*'Deal Analyzer'!$B$11</f>
        <v/>
      </c>
      <c r="E920" s="15">
        <f>IF(B920=0,0,(B920-D920)/B920)</f>
        <v/>
      </c>
      <c r="F920" s="2">
        <f>E920&gt;='Deal Analyzer'!$B$12</f>
        <v/>
      </c>
      <c r="G920" s="12">
        <f>IF(AND(F920,RAND()&lt;$J$7),'Deal Analyzer'!$B$8-'Deal Analyzer'!$B$10,-('Deal Analyzer'!$B$10+'Deal Analyzer'!$B$9*'Deal Analyzer'!$B$14))</f>
        <v/>
      </c>
      <c r="H920" s="2" t="n"/>
      <c r="I920" s="2" t="n"/>
      <c r="J920" s="2" t="n"/>
      <c r="K920" s="2" t="n"/>
    </row>
    <row r="921">
      <c r="A921" s="2" t="n">
        <v>910</v>
      </c>
      <c r="B921" s="12">
        <f>MAX(0,'Deal Analyzer'!$B$4*(1+NORM.INV(RAND(),0,$J$4)))</f>
        <v/>
      </c>
      <c r="C921" s="12">
        <f>'Deal Analyzer'!$B$5*MAX(0.9,1+NORM.INV(RAND(),$J$5,$J$6))</f>
        <v/>
      </c>
      <c r="D921" s="12">
        <f>'Deal Analyzer'!$B$24+C921+B921*'Deal Analyzer'!$B$11</f>
        <v/>
      </c>
      <c r="E921" s="15">
        <f>IF(B921=0,0,(B921-D921)/B921)</f>
        <v/>
      </c>
      <c r="F921" s="2">
        <f>E921&gt;='Deal Analyzer'!$B$12</f>
        <v/>
      </c>
      <c r="G921" s="12">
        <f>IF(AND(F921,RAND()&lt;$J$7),'Deal Analyzer'!$B$8-'Deal Analyzer'!$B$10,-('Deal Analyzer'!$B$10+'Deal Analyzer'!$B$9*'Deal Analyzer'!$B$14))</f>
        <v/>
      </c>
      <c r="H921" s="2" t="n"/>
      <c r="I921" s="2" t="n"/>
      <c r="J921" s="2" t="n"/>
      <c r="K921" s="2" t="n"/>
    </row>
    <row r="922">
      <c r="A922" s="2" t="n">
        <v>911</v>
      </c>
      <c r="B922" s="12">
        <f>MAX(0,'Deal Analyzer'!$B$4*(1+NORM.INV(RAND(),0,$J$4)))</f>
        <v/>
      </c>
      <c r="C922" s="12">
        <f>'Deal Analyzer'!$B$5*MAX(0.9,1+NORM.INV(RAND(),$J$5,$J$6))</f>
        <v/>
      </c>
      <c r="D922" s="12">
        <f>'Deal Analyzer'!$B$24+C922+B922*'Deal Analyzer'!$B$11</f>
        <v/>
      </c>
      <c r="E922" s="15">
        <f>IF(B922=0,0,(B922-D922)/B922)</f>
        <v/>
      </c>
      <c r="F922" s="2">
        <f>E922&gt;='Deal Analyzer'!$B$12</f>
        <v/>
      </c>
      <c r="G922" s="12">
        <f>IF(AND(F922,RAND()&lt;$J$7),'Deal Analyzer'!$B$8-'Deal Analyzer'!$B$10,-('Deal Analyzer'!$B$10+'Deal Analyzer'!$B$9*'Deal Analyzer'!$B$14))</f>
        <v/>
      </c>
      <c r="H922" s="2" t="n"/>
      <c r="I922" s="2" t="n"/>
      <c r="J922" s="2" t="n"/>
      <c r="K922" s="2" t="n"/>
    </row>
    <row r="923">
      <c r="A923" s="2" t="n">
        <v>912</v>
      </c>
      <c r="B923" s="12">
        <f>MAX(0,'Deal Analyzer'!$B$4*(1+NORM.INV(RAND(),0,$J$4)))</f>
        <v/>
      </c>
      <c r="C923" s="12">
        <f>'Deal Analyzer'!$B$5*MAX(0.9,1+NORM.INV(RAND(),$J$5,$J$6))</f>
        <v/>
      </c>
      <c r="D923" s="12">
        <f>'Deal Analyzer'!$B$24+C923+B923*'Deal Analyzer'!$B$11</f>
        <v/>
      </c>
      <c r="E923" s="15">
        <f>IF(B923=0,0,(B923-D923)/B923)</f>
        <v/>
      </c>
      <c r="F923" s="2">
        <f>E923&gt;='Deal Analyzer'!$B$12</f>
        <v/>
      </c>
      <c r="G923" s="12">
        <f>IF(AND(F923,RAND()&lt;$J$7),'Deal Analyzer'!$B$8-'Deal Analyzer'!$B$10,-('Deal Analyzer'!$B$10+'Deal Analyzer'!$B$9*'Deal Analyzer'!$B$14))</f>
        <v/>
      </c>
      <c r="H923" s="2" t="n"/>
      <c r="I923" s="2" t="n"/>
      <c r="J923" s="2" t="n"/>
      <c r="K923" s="2" t="n"/>
    </row>
    <row r="924">
      <c r="A924" s="2" t="n">
        <v>913</v>
      </c>
      <c r="B924" s="12">
        <f>MAX(0,'Deal Analyzer'!$B$4*(1+NORM.INV(RAND(),0,$J$4)))</f>
        <v/>
      </c>
      <c r="C924" s="12">
        <f>'Deal Analyzer'!$B$5*MAX(0.9,1+NORM.INV(RAND(),$J$5,$J$6))</f>
        <v/>
      </c>
      <c r="D924" s="12">
        <f>'Deal Analyzer'!$B$24+C924+B924*'Deal Analyzer'!$B$11</f>
        <v/>
      </c>
      <c r="E924" s="15">
        <f>IF(B924=0,0,(B924-D924)/B924)</f>
        <v/>
      </c>
      <c r="F924" s="2">
        <f>E924&gt;='Deal Analyzer'!$B$12</f>
        <v/>
      </c>
      <c r="G924" s="12">
        <f>IF(AND(F924,RAND()&lt;$J$7),'Deal Analyzer'!$B$8-'Deal Analyzer'!$B$10,-('Deal Analyzer'!$B$10+'Deal Analyzer'!$B$9*'Deal Analyzer'!$B$14))</f>
        <v/>
      </c>
      <c r="H924" s="2" t="n"/>
      <c r="I924" s="2" t="n"/>
      <c r="J924" s="2" t="n"/>
      <c r="K924" s="2" t="n"/>
    </row>
    <row r="925">
      <c r="A925" s="2" t="n">
        <v>914</v>
      </c>
      <c r="B925" s="12">
        <f>MAX(0,'Deal Analyzer'!$B$4*(1+NORM.INV(RAND(),0,$J$4)))</f>
        <v/>
      </c>
      <c r="C925" s="12">
        <f>'Deal Analyzer'!$B$5*MAX(0.9,1+NORM.INV(RAND(),$J$5,$J$6))</f>
        <v/>
      </c>
      <c r="D925" s="12">
        <f>'Deal Analyzer'!$B$24+C925+B925*'Deal Analyzer'!$B$11</f>
        <v/>
      </c>
      <c r="E925" s="15">
        <f>IF(B925=0,0,(B925-D925)/B925)</f>
        <v/>
      </c>
      <c r="F925" s="2">
        <f>E925&gt;='Deal Analyzer'!$B$12</f>
        <v/>
      </c>
      <c r="G925" s="12">
        <f>IF(AND(F925,RAND()&lt;$J$7),'Deal Analyzer'!$B$8-'Deal Analyzer'!$B$10,-('Deal Analyzer'!$B$10+'Deal Analyzer'!$B$9*'Deal Analyzer'!$B$14))</f>
        <v/>
      </c>
      <c r="H925" s="2" t="n"/>
      <c r="I925" s="2" t="n"/>
      <c r="J925" s="2" t="n"/>
      <c r="K925" s="2" t="n"/>
    </row>
    <row r="926">
      <c r="A926" s="2" t="n">
        <v>915</v>
      </c>
      <c r="B926" s="12">
        <f>MAX(0,'Deal Analyzer'!$B$4*(1+NORM.INV(RAND(),0,$J$4)))</f>
        <v/>
      </c>
      <c r="C926" s="12">
        <f>'Deal Analyzer'!$B$5*MAX(0.9,1+NORM.INV(RAND(),$J$5,$J$6))</f>
        <v/>
      </c>
      <c r="D926" s="12">
        <f>'Deal Analyzer'!$B$24+C926+B926*'Deal Analyzer'!$B$11</f>
        <v/>
      </c>
      <c r="E926" s="15">
        <f>IF(B926=0,0,(B926-D926)/B926)</f>
        <v/>
      </c>
      <c r="F926" s="2">
        <f>E926&gt;='Deal Analyzer'!$B$12</f>
        <v/>
      </c>
      <c r="G926" s="12">
        <f>IF(AND(F926,RAND()&lt;$J$7),'Deal Analyzer'!$B$8-'Deal Analyzer'!$B$10,-('Deal Analyzer'!$B$10+'Deal Analyzer'!$B$9*'Deal Analyzer'!$B$14))</f>
        <v/>
      </c>
      <c r="H926" s="2" t="n"/>
      <c r="I926" s="2" t="n"/>
      <c r="J926" s="2" t="n"/>
      <c r="K926" s="2" t="n"/>
    </row>
    <row r="927">
      <c r="A927" s="2" t="n">
        <v>916</v>
      </c>
      <c r="B927" s="12">
        <f>MAX(0,'Deal Analyzer'!$B$4*(1+NORM.INV(RAND(),0,$J$4)))</f>
        <v/>
      </c>
      <c r="C927" s="12">
        <f>'Deal Analyzer'!$B$5*MAX(0.9,1+NORM.INV(RAND(),$J$5,$J$6))</f>
        <v/>
      </c>
      <c r="D927" s="12">
        <f>'Deal Analyzer'!$B$24+C927+B927*'Deal Analyzer'!$B$11</f>
        <v/>
      </c>
      <c r="E927" s="15">
        <f>IF(B927=0,0,(B927-D927)/B927)</f>
        <v/>
      </c>
      <c r="F927" s="2">
        <f>E927&gt;='Deal Analyzer'!$B$12</f>
        <v/>
      </c>
      <c r="G927" s="12">
        <f>IF(AND(F927,RAND()&lt;$J$7),'Deal Analyzer'!$B$8-'Deal Analyzer'!$B$10,-('Deal Analyzer'!$B$10+'Deal Analyzer'!$B$9*'Deal Analyzer'!$B$14))</f>
        <v/>
      </c>
      <c r="H927" s="2" t="n"/>
      <c r="I927" s="2" t="n"/>
      <c r="J927" s="2" t="n"/>
      <c r="K927" s="2" t="n"/>
    </row>
    <row r="928">
      <c r="A928" s="2" t="n">
        <v>917</v>
      </c>
      <c r="B928" s="12">
        <f>MAX(0,'Deal Analyzer'!$B$4*(1+NORM.INV(RAND(),0,$J$4)))</f>
        <v/>
      </c>
      <c r="C928" s="12">
        <f>'Deal Analyzer'!$B$5*MAX(0.9,1+NORM.INV(RAND(),$J$5,$J$6))</f>
        <v/>
      </c>
      <c r="D928" s="12">
        <f>'Deal Analyzer'!$B$24+C928+B928*'Deal Analyzer'!$B$11</f>
        <v/>
      </c>
      <c r="E928" s="15">
        <f>IF(B928=0,0,(B928-D928)/B928)</f>
        <v/>
      </c>
      <c r="F928" s="2">
        <f>E928&gt;='Deal Analyzer'!$B$12</f>
        <v/>
      </c>
      <c r="G928" s="12">
        <f>IF(AND(F928,RAND()&lt;$J$7),'Deal Analyzer'!$B$8-'Deal Analyzer'!$B$10,-('Deal Analyzer'!$B$10+'Deal Analyzer'!$B$9*'Deal Analyzer'!$B$14))</f>
        <v/>
      </c>
      <c r="H928" s="2" t="n"/>
      <c r="I928" s="2" t="n"/>
      <c r="J928" s="2" t="n"/>
      <c r="K928" s="2" t="n"/>
    </row>
    <row r="929">
      <c r="A929" s="2" t="n">
        <v>918</v>
      </c>
      <c r="B929" s="12">
        <f>MAX(0,'Deal Analyzer'!$B$4*(1+NORM.INV(RAND(),0,$J$4)))</f>
        <v/>
      </c>
      <c r="C929" s="12">
        <f>'Deal Analyzer'!$B$5*MAX(0.9,1+NORM.INV(RAND(),$J$5,$J$6))</f>
        <v/>
      </c>
      <c r="D929" s="12">
        <f>'Deal Analyzer'!$B$24+C929+B929*'Deal Analyzer'!$B$11</f>
        <v/>
      </c>
      <c r="E929" s="15">
        <f>IF(B929=0,0,(B929-D929)/B929)</f>
        <v/>
      </c>
      <c r="F929" s="2">
        <f>E929&gt;='Deal Analyzer'!$B$12</f>
        <v/>
      </c>
      <c r="G929" s="12">
        <f>IF(AND(F929,RAND()&lt;$J$7),'Deal Analyzer'!$B$8-'Deal Analyzer'!$B$10,-('Deal Analyzer'!$B$10+'Deal Analyzer'!$B$9*'Deal Analyzer'!$B$14))</f>
        <v/>
      </c>
      <c r="H929" s="2" t="n"/>
      <c r="I929" s="2" t="n"/>
      <c r="J929" s="2" t="n"/>
      <c r="K929" s="2" t="n"/>
    </row>
    <row r="930">
      <c r="A930" s="2" t="n">
        <v>919</v>
      </c>
      <c r="B930" s="12">
        <f>MAX(0,'Deal Analyzer'!$B$4*(1+NORM.INV(RAND(),0,$J$4)))</f>
        <v/>
      </c>
      <c r="C930" s="12">
        <f>'Deal Analyzer'!$B$5*MAX(0.9,1+NORM.INV(RAND(),$J$5,$J$6))</f>
        <v/>
      </c>
      <c r="D930" s="12">
        <f>'Deal Analyzer'!$B$24+C930+B930*'Deal Analyzer'!$B$11</f>
        <v/>
      </c>
      <c r="E930" s="15">
        <f>IF(B930=0,0,(B930-D930)/B930)</f>
        <v/>
      </c>
      <c r="F930" s="2">
        <f>E930&gt;='Deal Analyzer'!$B$12</f>
        <v/>
      </c>
      <c r="G930" s="12">
        <f>IF(AND(F930,RAND()&lt;$J$7),'Deal Analyzer'!$B$8-'Deal Analyzer'!$B$10,-('Deal Analyzer'!$B$10+'Deal Analyzer'!$B$9*'Deal Analyzer'!$B$14))</f>
        <v/>
      </c>
      <c r="H930" s="2" t="n"/>
      <c r="I930" s="2" t="n"/>
      <c r="J930" s="2" t="n"/>
      <c r="K930" s="2" t="n"/>
    </row>
    <row r="931">
      <c r="A931" s="2" t="n">
        <v>920</v>
      </c>
      <c r="B931" s="12">
        <f>MAX(0,'Deal Analyzer'!$B$4*(1+NORM.INV(RAND(),0,$J$4)))</f>
        <v/>
      </c>
      <c r="C931" s="12">
        <f>'Deal Analyzer'!$B$5*MAX(0.9,1+NORM.INV(RAND(),$J$5,$J$6))</f>
        <v/>
      </c>
      <c r="D931" s="12">
        <f>'Deal Analyzer'!$B$24+C931+B931*'Deal Analyzer'!$B$11</f>
        <v/>
      </c>
      <c r="E931" s="15">
        <f>IF(B931=0,0,(B931-D931)/B931)</f>
        <v/>
      </c>
      <c r="F931" s="2">
        <f>E931&gt;='Deal Analyzer'!$B$12</f>
        <v/>
      </c>
      <c r="G931" s="12">
        <f>IF(AND(F931,RAND()&lt;$J$7),'Deal Analyzer'!$B$8-'Deal Analyzer'!$B$10,-('Deal Analyzer'!$B$10+'Deal Analyzer'!$B$9*'Deal Analyzer'!$B$14))</f>
        <v/>
      </c>
      <c r="H931" s="2" t="n"/>
      <c r="I931" s="2" t="n"/>
      <c r="J931" s="2" t="n"/>
      <c r="K931" s="2" t="n"/>
    </row>
    <row r="932">
      <c r="A932" s="2" t="n">
        <v>921</v>
      </c>
      <c r="B932" s="12">
        <f>MAX(0,'Deal Analyzer'!$B$4*(1+NORM.INV(RAND(),0,$J$4)))</f>
        <v/>
      </c>
      <c r="C932" s="12">
        <f>'Deal Analyzer'!$B$5*MAX(0.9,1+NORM.INV(RAND(),$J$5,$J$6))</f>
        <v/>
      </c>
      <c r="D932" s="12">
        <f>'Deal Analyzer'!$B$24+C932+B932*'Deal Analyzer'!$B$11</f>
        <v/>
      </c>
      <c r="E932" s="15">
        <f>IF(B932=0,0,(B932-D932)/B932)</f>
        <v/>
      </c>
      <c r="F932" s="2">
        <f>E932&gt;='Deal Analyzer'!$B$12</f>
        <v/>
      </c>
      <c r="G932" s="12">
        <f>IF(AND(F932,RAND()&lt;$J$7),'Deal Analyzer'!$B$8-'Deal Analyzer'!$B$10,-('Deal Analyzer'!$B$10+'Deal Analyzer'!$B$9*'Deal Analyzer'!$B$14))</f>
        <v/>
      </c>
      <c r="H932" s="2" t="n"/>
      <c r="I932" s="2" t="n"/>
      <c r="J932" s="2" t="n"/>
      <c r="K932" s="2" t="n"/>
    </row>
    <row r="933">
      <c r="A933" s="2" t="n">
        <v>922</v>
      </c>
      <c r="B933" s="12">
        <f>MAX(0,'Deal Analyzer'!$B$4*(1+NORM.INV(RAND(),0,$J$4)))</f>
        <v/>
      </c>
      <c r="C933" s="12">
        <f>'Deal Analyzer'!$B$5*MAX(0.9,1+NORM.INV(RAND(),$J$5,$J$6))</f>
        <v/>
      </c>
      <c r="D933" s="12">
        <f>'Deal Analyzer'!$B$24+C933+B933*'Deal Analyzer'!$B$11</f>
        <v/>
      </c>
      <c r="E933" s="15">
        <f>IF(B933=0,0,(B933-D933)/B933)</f>
        <v/>
      </c>
      <c r="F933" s="2">
        <f>E933&gt;='Deal Analyzer'!$B$12</f>
        <v/>
      </c>
      <c r="G933" s="12">
        <f>IF(AND(F933,RAND()&lt;$J$7),'Deal Analyzer'!$B$8-'Deal Analyzer'!$B$10,-('Deal Analyzer'!$B$10+'Deal Analyzer'!$B$9*'Deal Analyzer'!$B$14))</f>
        <v/>
      </c>
      <c r="H933" s="2" t="n"/>
      <c r="I933" s="2" t="n"/>
      <c r="J933" s="2" t="n"/>
      <c r="K933" s="2" t="n"/>
    </row>
    <row r="934">
      <c r="A934" s="2" t="n">
        <v>923</v>
      </c>
      <c r="B934" s="12">
        <f>MAX(0,'Deal Analyzer'!$B$4*(1+NORM.INV(RAND(),0,$J$4)))</f>
        <v/>
      </c>
      <c r="C934" s="12">
        <f>'Deal Analyzer'!$B$5*MAX(0.9,1+NORM.INV(RAND(),$J$5,$J$6))</f>
        <v/>
      </c>
      <c r="D934" s="12">
        <f>'Deal Analyzer'!$B$24+C934+B934*'Deal Analyzer'!$B$11</f>
        <v/>
      </c>
      <c r="E934" s="15">
        <f>IF(B934=0,0,(B934-D934)/B934)</f>
        <v/>
      </c>
      <c r="F934" s="2">
        <f>E934&gt;='Deal Analyzer'!$B$12</f>
        <v/>
      </c>
      <c r="G934" s="12">
        <f>IF(AND(F934,RAND()&lt;$J$7),'Deal Analyzer'!$B$8-'Deal Analyzer'!$B$10,-('Deal Analyzer'!$B$10+'Deal Analyzer'!$B$9*'Deal Analyzer'!$B$14))</f>
        <v/>
      </c>
      <c r="H934" s="2" t="n"/>
      <c r="I934" s="2" t="n"/>
      <c r="J934" s="2" t="n"/>
      <c r="K934" s="2" t="n"/>
    </row>
    <row r="935">
      <c r="A935" s="2" t="n">
        <v>924</v>
      </c>
      <c r="B935" s="12">
        <f>MAX(0,'Deal Analyzer'!$B$4*(1+NORM.INV(RAND(),0,$J$4)))</f>
        <v/>
      </c>
      <c r="C935" s="12">
        <f>'Deal Analyzer'!$B$5*MAX(0.9,1+NORM.INV(RAND(),$J$5,$J$6))</f>
        <v/>
      </c>
      <c r="D935" s="12">
        <f>'Deal Analyzer'!$B$24+C935+B935*'Deal Analyzer'!$B$11</f>
        <v/>
      </c>
      <c r="E935" s="15">
        <f>IF(B935=0,0,(B935-D935)/B935)</f>
        <v/>
      </c>
      <c r="F935" s="2">
        <f>E935&gt;='Deal Analyzer'!$B$12</f>
        <v/>
      </c>
      <c r="G935" s="12">
        <f>IF(AND(F935,RAND()&lt;$J$7),'Deal Analyzer'!$B$8-'Deal Analyzer'!$B$10,-('Deal Analyzer'!$B$10+'Deal Analyzer'!$B$9*'Deal Analyzer'!$B$14))</f>
        <v/>
      </c>
      <c r="H935" s="2" t="n"/>
      <c r="I935" s="2" t="n"/>
      <c r="J935" s="2" t="n"/>
      <c r="K935" s="2" t="n"/>
    </row>
    <row r="936">
      <c r="A936" s="2" t="n">
        <v>925</v>
      </c>
      <c r="B936" s="12">
        <f>MAX(0,'Deal Analyzer'!$B$4*(1+NORM.INV(RAND(),0,$J$4)))</f>
        <v/>
      </c>
      <c r="C936" s="12">
        <f>'Deal Analyzer'!$B$5*MAX(0.9,1+NORM.INV(RAND(),$J$5,$J$6))</f>
        <v/>
      </c>
      <c r="D936" s="12">
        <f>'Deal Analyzer'!$B$24+C936+B936*'Deal Analyzer'!$B$11</f>
        <v/>
      </c>
      <c r="E936" s="15">
        <f>IF(B936=0,0,(B936-D936)/B936)</f>
        <v/>
      </c>
      <c r="F936" s="2">
        <f>E936&gt;='Deal Analyzer'!$B$12</f>
        <v/>
      </c>
      <c r="G936" s="12">
        <f>IF(AND(F936,RAND()&lt;$J$7),'Deal Analyzer'!$B$8-'Deal Analyzer'!$B$10,-('Deal Analyzer'!$B$10+'Deal Analyzer'!$B$9*'Deal Analyzer'!$B$14))</f>
        <v/>
      </c>
      <c r="H936" s="2" t="n"/>
      <c r="I936" s="2" t="n"/>
      <c r="J936" s="2" t="n"/>
      <c r="K936" s="2" t="n"/>
    </row>
    <row r="937">
      <c r="A937" s="2" t="n">
        <v>926</v>
      </c>
      <c r="B937" s="12">
        <f>MAX(0,'Deal Analyzer'!$B$4*(1+NORM.INV(RAND(),0,$J$4)))</f>
        <v/>
      </c>
      <c r="C937" s="12">
        <f>'Deal Analyzer'!$B$5*MAX(0.9,1+NORM.INV(RAND(),$J$5,$J$6))</f>
        <v/>
      </c>
      <c r="D937" s="12">
        <f>'Deal Analyzer'!$B$24+C937+B937*'Deal Analyzer'!$B$11</f>
        <v/>
      </c>
      <c r="E937" s="15">
        <f>IF(B937=0,0,(B937-D937)/B937)</f>
        <v/>
      </c>
      <c r="F937" s="2">
        <f>E937&gt;='Deal Analyzer'!$B$12</f>
        <v/>
      </c>
      <c r="G937" s="12">
        <f>IF(AND(F937,RAND()&lt;$J$7),'Deal Analyzer'!$B$8-'Deal Analyzer'!$B$10,-('Deal Analyzer'!$B$10+'Deal Analyzer'!$B$9*'Deal Analyzer'!$B$14))</f>
        <v/>
      </c>
      <c r="H937" s="2" t="n"/>
      <c r="I937" s="2" t="n"/>
      <c r="J937" s="2" t="n"/>
      <c r="K937" s="2" t="n"/>
    </row>
    <row r="938">
      <c r="A938" s="2" t="n">
        <v>927</v>
      </c>
      <c r="B938" s="12">
        <f>MAX(0,'Deal Analyzer'!$B$4*(1+NORM.INV(RAND(),0,$J$4)))</f>
        <v/>
      </c>
      <c r="C938" s="12">
        <f>'Deal Analyzer'!$B$5*MAX(0.9,1+NORM.INV(RAND(),$J$5,$J$6))</f>
        <v/>
      </c>
      <c r="D938" s="12">
        <f>'Deal Analyzer'!$B$24+C938+B938*'Deal Analyzer'!$B$11</f>
        <v/>
      </c>
      <c r="E938" s="15">
        <f>IF(B938=0,0,(B938-D938)/B938)</f>
        <v/>
      </c>
      <c r="F938" s="2">
        <f>E938&gt;='Deal Analyzer'!$B$12</f>
        <v/>
      </c>
      <c r="G938" s="12">
        <f>IF(AND(F938,RAND()&lt;$J$7),'Deal Analyzer'!$B$8-'Deal Analyzer'!$B$10,-('Deal Analyzer'!$B$10+'Deal Analyzer'!$B$9*'Deal Analyzer'!$B$14))</f>
        <v/>
      </c>
      <c r="H938" s="2" t="n"/>
      <c r="I938" s="2" t="n"/>
      <c r="J938" s="2" t="n"/>
      <c r="K938" s="2" t="n"/>
    </row>
    <row r="939">
      <c r="A939" s="2" t="n">
        <v>928</v>
      </c>
      <c r="B939" s="12">
        <f>MAX(0,'Deal Analyzer'!$B$4*(1+NORM.INV(RAND(),0,$J$4)))</f>
        <v/>
      </c>
      <c r="C939" s="12">
        <f>'Deal Analyzer'!$B$5*MAX(0.9,1+NORM.INV(RAND(),$J$5,$J$6))</f>
        <v/>
      </c>
      <c r="D939" s="12">
        <f>'Deal Analyzer'!$B$24+C939+B939*'Deal Analyzer'!$B$11</f>
        <v/>
      </c>
      <c r="E939" s="15">
        <f>IF(B939=0,0,(B939-D939)/B939)</f>
        <v/>
      </c>
      <c r="F939" s="2">
        <f>E939&gt;='Deal Analyzer'!$B$12</f>
        <v/>
      </c>
      <c r="G939" s="12">
        <f>IF(AND(F939,RAND()&lt;$J$7),'Deal Analyzer'!$B$8-'Deal Analyzer'!$B$10,-('Deal Analyzer'!$B$10+'Deal Analyzer'!$B$9*'Deal Analyzer'!$B$14))</f>
        <v/>
      </c>
      <c r="H939" s="2" t="n"/>
      <c r="I939" s="2" t="n"/>
      <c r="J939" s="2" t="n"/>
      <c r="K939" s="2" t="n"/>
    </row>
    <row r="940">
      <c r="A940" s="2" t="n">
        <v>929</v>
      </c>
      <c r="B940" s="12">
        <f>MAX(0,'Deal Analyzer'!$B$4*(1+NORM.INV(RAND(),0,$J$4)))</f>
        <v/>
      </c>
      <c r="C940" s="12">
        <f>'Deal Analyzer'!$B$5*MAX(0.9,1+NORM.INV(RAND(),$J$5,$J$6))</f>
        <v/>
      </c>
      <c r="D940" s="12">
        <f>'Deal Analyzer'!$B$24+C940+B940*'Deal Analyzer'!$B$11</f>
        <v/>
      </c>
      <c r="E940" s="15">
        <f>IF(B940=0,0,(B940-D940)/B940)</f>
        <v/>
      </c>
      <c r="F940" s="2">
        <f>E940&gt;='Deal Analyzer'!$B$12</f>
        <v/>
      </c>
      <c r="G940" s="12">
        <f>IF(AND(F940,RAND()&lt;$J$7),'Deal Analyzer'!$B$8-'Deal Analyzer'!$B$10,-('Deal Analyzer'!$B$10+'Deal Analyzer'!$B$9*'Deal Analyzer'!$B$14))</f>
        <v/>
      </c>
      <c r="H940" s="2" t="n"/>
      <c r="I940" s="2" t="n"/>
      <c r="J940" s="2" t="n"/>
      <c r="K940" s="2" t="n"/>
    </row>
    <row r="941">
      <c r="A941" s="2" t="n">
        <v>930</v>
      </c>
      <c r="B941" s="12">
        <f>MAX(0,'Deal Analyzer'!$B$4*(1+NORM.INV(RAND(),0,$J$4)))</f>
        <v/>
      </c>
      <c r="C941" s="12">
        <f>'Deal Analyzer'!$B$5*MAX(0.9,1+NORM.INV(RAND(),$J$5,$J$6))</f>
        <v/>
      </c>
      <c r="D941" s="12">
        <f>'Deal Analyzer'!$B$24+C941+B941*'Deal Analyzer'!$B$11</f>
        <v/>
      </c>
      <c r="E941" s="15">
        <f>IF(B941=0,0,(B941-D941)/B941)</f>
        <v/>
      </c>
      <c r="F941" s="2">
        <f>E941&gt;='Deal Analyzer'!$B$12</f>
        <v/>
      </c>
      <c r="G941" s="12">
        <f>IF(AND(F941,RAND()&lt;$J$7),'Deal Analyzer'!$B$8-'Deal Analyzer'!$B$10,-('Deal Analyzer'!$B$10+'Deal Analyzer'!$B$9*'Deal Analyzer'!$B$14))</f>
        <v/>
      </c>
      <c r="H941" s="2" t="n"/>
      <c r="I941" s="2" t="n"/>
      <c r="J941" s="2" t="n"/>
      <c r="K941" s="2" t="n"/>
    </row>
    <row r="942">
      <c r="A942" s="2" t="n">
        <v>931</v>
      </c>
      <c r="B942" s="12">
        <f>MAX(0,'Deal Analyzer'!$B$4*(1+NORM.INV(RAND(),0,$J$4)))</f>
        <v/>
      </c>
      <c r="C942" s="12">
        <f>'Deal Analyzer'!$B$5*MAX(0.9,1+NORM.INV(RAND(),$J$5,$J$6))</f>
        <v/>
      </c>
      <c r="D942" s="12">
        <f>'Deal Analyzer'!$B$24+C942+B942*'Deal Analyzer'!$B$11</f>
        <v/>
      </c>
      <c r="E942" s="15">
        <f>IF(B942=0,0,(B942-D942)/B942)</f>
        <v/>
      </c>
      <c r="F942" s="2">
        <f>E942&gt;='Deal Analyzer'!$B$12</f>
        <v/>
      </c>
      <c r="G942" s="12">
        <f>IF(AND(F942,RAND()&lt;$J$7),'Deal Analyzer'!$B$8-'Deal Analyzer'!$B$10,-('Deal Analyzer'!$B$10+'Deal Analyzer'!$B$9*'Deal Analyzer'!$B$14))</f>
        <v/>
      </c>
      <c r="H942" s="2" t="n"/>
      <c r="I942" s="2" t="n"/>
      <c r="J942" s="2" t="n"/>
      <c r="K942" s="2" t="n"/>
    </row>
    <row r="943">
      <c r="A943" s="2" t="n">
        <v>932</v>
      </c>
      <c r="B943" s="12">
        <f>MAX(0,'Deal Analyzer'!$B$4*(1+NORM.INV(RAND(),0,$J$4)))</f>
        <v/>
      </c>
      <c r="C943" s="12">
        <f>'Deal Analyzer'!$B$5*MAX(0.9,1+NORM.INV(RAND(),$J$5,$J$6))</f>
        <v/>
      </c>
      <c r="D943" s="12">
        <f>'Deal Analyzer'!$B$24+C943+B943*'Deal Analyzer'!$B$11</f>
        <v/>
      </c>
      <c r="E943" s="15">
        <f>IF(B943=0,0,(B943-D943)/B943)</f>
        <v/>
      </c>
      <c r="F943" s="2">
        <f>E943&gt;='Deal Analyzer'!$B$12</f>
        <v/>
      </c>
      <c r="G943" s="12">
        <f>IF(AND(F943,RAND()&lt;$J$7),'Deal Analyzer'!$B$8-'Deal Analyzer'!$B$10,-('Deal Analyzer'!$B$10+'Deal Analyzer'!$B$9*'Deal Analyzer'!$B$14))</f>
        <v/>
      </c>
      <c r="H943" s="2" t="n"/>
      <c r="I943" s="2" t="n"/>
      <c r="J943" s="2" t="n"/>
      <c r="K943" s="2" t="n"/>
    </row>
    <row r="944">
      <c r="A944" s="2" t="n">
        <v>933</v>
      </c>
      <c r="B944" s="12">
        <f>MAX(0,'Deal Analyzer'!$B$4*(1+NORM.INV(RAND(),0,$J$4)))</f>
        <v/>
      </c>
      <c r="C944" s="12">
        <f>'Deal Analyzer'!$B$5*MAX(0.9,1+NORM.INV(RAND(),$J$5,$J$6))</f>
        <v/>
      </c>
      <c r="D944" s="12">
        <f>'Deal Analyzer'!$B$24+C944+B944*'Deal Analyzer'!$B$11</f>
        <v/>
      </c>
      <c r="E944" s="15">
        <f>IF(B944=0,0,(B944-D944)/B944)</f>
        <v/>
      </c>
      <c r="F944" s="2">
        <f>E944&gt;='Deal Analyzer'!$B$12</f>
        <v/>
      </c>
      <c r="G944" s="12">
        <f>IF(AND(F944,RAND()&lt;$J$7),'Deal Analyzer'!$B$8-'Deal Analyzer'!$B$10,-('Deal Analyzer'!$B$10+'Deal Analyzer'!$B$9*'Deal Analyzer'!$B$14))</f>
        <v/>
      </c>
      <c r="H944" s="2" t="n"/>
      <c r="I944" s="2" t="n"/>
      <c r="J944" s="2" t="n"/>
      <c r="K944" s="2" t="n"/>
    </row>
    <row r="945">
      <c r="A945" s="2" t="n">
        <v>934</v>
      </c>
      <c r="B945" s="12">
        <f>MAX(0,'Deal Analyzer'!$B$4*(1+NORM.INV(RAND(),0,$J$4)))</f>
        <v/>
      </c>
      <c r="C945" s="12">
        <f>'Deal Analyzer'!$B$5*MAX(0.9,1+NORM.INV(RAND(),$J$5,$J$6))</f>
        <v/>
      </c>
      <c r="D945" s="12">
        <f>'Deal Analyzer'!$B$24+C945+B945*'Deal Analyzer'!$B$11</f>
        <v/>
      </c>
      <c r="E945" s="15">
        <f>IF(B945=0,0,(B945-D945)/B945)</f>
        <v/>
      </c>
      <c r="F945" s="2">
        <f>E945&gt;='Deal Analyzer'!$B$12</f>
        <v/>
      </c>
      <c r="G945" s="12">
        <f>IF(AND(F945,RAND()&lt;$J$7),'Deal Analyzer'!$B$8-'Deal Analyzer'!$B$10,-('Deal Analyzer'!$B$10+'Deal Analyzer'!$B$9*'Deal Analyzer'!$B$14))</f>
        <v/>
      </c>
      <c r="H945" s="2" t="n"/>
      <c r="I945" s="2" t="n"/>
      <c r="J945" s="2" t="n"/>
      <c r="K945" s="2" t="n"/>
    </row>
    <row r="946">
      <c r="A946" s="2" t="n">
        <v>935</v>
      </c>
      <c r="B946" s="12">
        <f>MAX(0,'Deal Analyzer'!$B$4*(1+NORM.INV(RAND(),0,$J$4)))</f>
        <v/>
      </c>
      <c r="C946" s="12">
        <f>'Deal Analyzer'!$B$5*MAX(0.9,1+NORM.INV(RAND(),$J$5,$J$6))</f>
        <v/>
      </c>
      <c r="D946" s="12">
        <f>'Deal Analyzer'!$B$24+C946+B946*'Deal Analyzer'!$B$11</f>
        <v/>
      </c>
      <c r="E946" s="15">
        <f>IF(B946=0,0,(B946-D946)/B946)</f>
        <v/>
      </c>
      <c r="F946" s="2">
        <f>E946&gt;='Deal Analyzer'!$B$12</f>
        <v/>
      </c>
      <c r="G946" s="12">
        <f>IF(AND(F946,RAND()&lt;$J$7),'Deal Analyzer'!$B$8-'Deal Analyzer'!$B$10,-('Deal Analyzer'!$B$10+'Deal Analyzer'!$B$9*'Deal Analyzer'!$B$14))</f>
        <v/>
      </c>
      <c r="H946" s="2" t="n"/>
      <c r="I946" s="2" t="n"/>
      <c r="J946" s="2" t="n"/>
      <c r="K946" s="2" t="n"/>
    </row>
    <row r="947">
      <c r="A947" s="2" t="n">
        <v>936</v>
      </c>
      <c r="B947" s="12">
        <f>MAX(0,'Deal Analyzer'!$B$4*(1+NORM.INV(RAND(),0,$J$4)))</f>
        <v/>
      </c>
      <c r="C947" s="12">
        <f>'Deal Analyzer'!$B$5*MAX(0.9,1+NORM.INV(RAND(),$J$5,$J$6))</f>
        <v/>
      </c>
      <c r="D947" s="12">
        <f>'Deal Analyzer'!$B$24+C947+B947*'Deal Analyzer'!$B$11</f>
        <v/>
      </c>
      <c r="E947" s="15">
        <f>IF(B947=0,0,(B947-D947)/B947)</f>
        <v/>
      </c>
      <c r="F947" s="2">
        <f>E947&gt;='Deal Analyzer'!$B$12</f>
        <v/>
      </c>
      <c r="G947" s="12">
        <f>IF(AND(F947,RAND()&lt;$J$7),'Deal Analyzer'!$B$8-'Deal Analyzer'!$B$10,-('Deal Analyzer'!$B$10+'Deal Analyzer'!$B$9*'Deal Analyzer'!$B$14))</f>
        <v/>
      </c>
      <c r="H947" s="2" t="n"/>
      <c r="I947" s="2" t="n"/>
      <c r="J947" s="2" t="n"/>
      <c r="K947" s="2" t="n"/>
    </row>
    <row r="948">
      <c r="A948" s="2" t="n">
        <v>937</v>
      </c>
      <c r="B948" s="12">
        <f>MAX(0,'Deal Analyzer'!$B$4*(1+NORM.INV(RAND(),0,$J$4)))</f>
        <v/>
      </c>
      <c r="C948" s="12">
        <f>'Deal Analyzer'!$B$5*MAX(0.9,1+NORM.INV(RAND(),$J$5,$J$6))</f>
        <v/>
      </c>
      <c r="D948" s="12">
        <f>'Deal Analyzer'!$B$24+C948+B948*'Deal Analyzer'!$B$11</f>
        <v/>
      </c>
      <c r="E948" s="15">
        <f>IF(B948=0,0,(B948-D948)/B948)</f>
        <v/>
      </c>
      <c r="F948" s="2">
        <f>E948&gt;='Deal Analyzer'!$B$12</f>
        <v/>
      </c>
      <c r="G948" s="12">
        <f>IF(AND(F948,RAND()&lt;$J$7),'Deal Analyzer'!$B$8-'Deal Analyzer'!$B$10,-('Deal Analyzer'!$B$10+'Deal Analyzer'!$B$9*'Deal Analyzer'!$B$14))</f>
        <v/>
      </c>
      <c r="H948" s="2" t="n"/>
      <c r="I948" s="2" t="n"/>
      <c r="J948" s="2" t="n"/>
      <c r="K948" s="2" t="n"/>
    </row>
    <row r="949">
      <c r="A949" s="2" t="n">
        <v>938</v>
      </c>
      <c r="B949" s="12">
        <f>MAX(0,'Deal Analyzer'!$B$4*(1+NORM.INV(RAND(),0,$J$4)))</f>
        <v/>
      </c>
      <c r="C949" s="12">
        <f>'Deal Analyzer'!$B$5*MAX(0.9,1+NORM.INV(RAND(),$J$5,$J$6))</f>
        <v/>
      </c>
      <c r="D949" s="12">
        <f>'Deal Analyzer'!$B$24+C949+B949*'Deal Analyzer'!$B$11</f>
        <v/>
      </c>
      <c r="E949" s="15">
        <f>IF(B949=0,0,(B949-D949)/B949)</f>
        <v/>
      </c>
      <c r="F949" s="2">
        <f>E949&gt;='Deal Analyzer'!$B$12</f>
        <v/>
      </c>
      <c r="G949" s="12">
        <f>IF(AND(F949,RAND()&lt;$J$7),'Deal Analyzer'!$B$8-'Deal Analyzer'!$B$10,-('Deal Analyzer'!$B$10+'Deal Analyzer'!$B$9*'Deal Analyzer'!$B$14))</f>
        <v/>
      </c>
      <c r="H949" s="2" t="n"/>
      <c r="I949" s="2" t="n"/>
      <c r="J949" s="2" t="n"/>
      <c r="K949" s="2" t="n"/>
    </row>
    <row r="950">
      <c r="A950" s="2" t="n">
        <v>939</v>
      </c>
      <c r="B950" s="12">
        <f>MAX(0,'Deal Analyzer'!$B$4*(1+NORM.INV(RAND(),0,$J$4)))</f>
        <v/>
      </c>
      <c r="C950" s="12">
        <f>'Deal Analyzer'!$B$5*MAX(0.9,1+NORM.INV(RAND(),$J$5,$J$6))</f>
        <v/>
      </c>
      <c r="D950" s="12">
        <f>'Deal Analyzer'!$B$24+C950+B950*'Deal Analyzer'!$B$11</f>
        <v/>
      </c>
      <c r="E950" s="15">
        <f>IF(B950=0,0,(B950-D950)/B950)</f>
        <v/>
      </c>
      <c r="F950" s="2">
        <f>E950&gt;='Deal Analyzer'!$B$12</f>
        <v/>
      </c>
      <c r="G950" s="12">
        <f>IF(AND(F950,RAND()&lt;$J$7),'Deal Analyzer'!$B$8-'Deal Analyzer'!$B$10,-('Deal Analyzer'!$B$10+'Deal Analyzer'!$B$9*'Deal Analyzer'!$B$14))</f>
        <v/>
      </c>
      <c r="H950" s="2" t="n"/>
      <c r="I950" s="2" t="n"/>
      <c r="J950" s="2" t="n"/>
      <c r="K950" s="2" t="n"/>
    </row>
    <row r="951">
      <c r="A951" s="2" t="n">
        <v>940</v>
      </c>
      <c r="B951" s="12">
        <f>MAX(0,'Deal Analyzer'!$B$4*(1+NORM.INV(RAND(),0,$J$4)))</f>
        <v/>
      </c>
      <c r="C951" s="12">
        <f>'Deal Analyzer'!$B$5*MAX(0.9,1+NORM.INV(RAND(),$J$5,$J$6))</f>
        <v/>
      </c>
      <c r="D951" s="12">
        <f>'Deal Analyzer'!$B$24+C951+B951*'Deal Analyzer'!$B$11</f>
        <v/>
      </c>
      <c r="E951" s="15">
        <f>IF(B951=0,0,(B951-D951)/B951)</f>
        <v/>
      </c>
      <c r="F951" s="2">
        <f>E951&gt;='Deal Analyzer'!$B$12</f>
        <v/>
      </c>
      <c r="G951" s="12">
        <f>IF(AND(F951,RAND()&lt;$J$7),'Deal Analyzer'!$B$8-'Deal Analyzer'!$B$10,-('Deal Analyzer'!$B$10+'Deal Analyzer'!$B$9*'Deal Analyzer'!$B$14))</f>
        <v/>
      </c>
      <c r="H951" s="2" t="n"/>
      <c r="I951" s="2" t="n"/>
      <c r="J951" s="2" t="n"/>
      <c r="K951" s="2" t="n"/>
    </row>
    <row r="952">
      <c r="A952" s="2" t="n">
        <v>941</v>
      </c>
      <c r="B952" s="12">
        <f>MAX(0,'Deal Analyzer'!$B$4*(1+NORM.INV(RAND(),0,$J$4)))</f>
        <v/>
      </c>
      <c r="C952" s="12">
        <f>'Deal Analyzer'!$B$5*MAX(0.9,1+NORM.INV(RAND(),$J$5,$J$6))</f>
        <v/>
      </c>
      <c r="D952" s="12">
        <f>'Deal Analyzer'!$B$24+C952+B952*'Deal Analyzer'!$B$11</f>
        <v/>
      </c>
      <c r="E952" s="15">
        <f>IF(B952=0,0,(B952-D952)/B952)</f>
        <v/>
      </c>
      <c r="F952" s="2">
        <f>E952&gt;='Deal Analyzer'!$B$12</f>
        <v/>
      </c>
      <c r="G952" s="12">
        <f>IF(AND(F952,RAND()&lt;$J$7),'Deal Analyzer'!$B$8-'Deal Analyzer'!$B$10,-('Deal Analyzer'!$B$10+'Deal Analyzer'!$B$9*'Deal Analyzer'!$B$14))</f>
        <v/>
      </c>
      <c r="H952" s="2" t="n"/>
      <c r="I952" s="2" t="n"/>
      <c r="J952" s="2" t="n"/>
      <c r="K952" s="2" t="n"/>
    </row>
    <row r="953">
      <c r="A953" s="2" t="n">
        <v>942</v>
      </c>
      <c r="B953" s="12">
        <f>MAX(0,'Deal Analyzer'!$B$4*(1+NORM.INV(RAND(),0,$J$4)))</f>
        <v/>
      </c>
      <c r="C953" s="12">
        <f>'Deal Analyzer'!$B$5*MAX(0.9,1+NORM.INV(RAND(),$J$5,$J$6))</f>
        <v/>
      </c>
      <c r="D953" s="12">
        <f>'Deal Analyzer'!$B$24+C953+B953*'Deal Analyzer'!$B$11</f>
        <v/>
      </c>
      <c r="E953" s="15">
        <f>IF(B953=0,0,(B953-D953)/B953)</f>
        <v/>
      </c>
      <c r="F953" s="2">
        <f>E953&gt;='Deal Analyzer'!$B$12</f>
        <v/>
      </c>
      <c r="G953" s="12">
        <f>IF(AND(F953,RAND()&lt;$J$7),'Deal Analyzer'!$B$8-'Deal Analyzer'!$B$10,-('Deal Analyzer'!$B$10+'Deal Analyzer'!$B$9*'Deal Analyzer'!$B$14))</f>
        <v/>
      </c>
      <c r="H953" s="2" t="n"/>
      <c r="I953" s="2" t="n"/>
      <c r="J953" s="2" t="n"/>
      <c r="K953" s="2" t="n"/>
    </row>
    <row r="954">
      <c r="A954" s="2" t="n">
        <v>943</v>
      </c>
      <c r="B954" s="12">
        <f>MAX(0,'Deal Analyzer'!$B$4*(1+NORM.INV(RAND(),0,$J$4)))</f>
        <v/>
      </c>
      <c r="C954" s="12">
        <f>'Deal Analyzer'!$B$5*MAX(0.9,1+NORM.INV(RAND(),$J$5,$J$6))</f>
        <v/>
      </c>
      <c r="D954" s="12">
        <f>'Deal Analyzer'!$B$24+C954+B954*'Deal Analyzer'!$B$11</f>
        <v/>
      </c>
      <c r="E954" s="15">
        <f>IF(B954=0,0,(B954-D954)/B954)</f>
        <v/>
      </c>
      <c r="F954" s="2">
        <f>E954&gt;='Deal Analyzer'!$B$12</f>
        <v/>
      </c>
      <c r="G954" s="12">
        <f>IF(AND(F954,RAND()&lt;$J$7),'Deal Analyzer'!$B$8-'Deal Analyzer'!$B$10,-('Deal Analyzer'!$B$10+'Deal Analyzer'!$B$9*'Deal Analyzer'!$B$14))</f>
        <v/>
      </c>
      <c r="H954" s="2" t="n"/>
      <c r="I954" s="2" t="n"/>
      <c r="J954" s="2" t="n"/>
      <c r="K954" s="2" t="n"/>
    </row>
    <row r="955">
      <c r="A955" s="2" t="n">
        <v>944</v>
      </c>
      <c r="B955" s="12">
        <f>MAX(0,'Deal Analyzer'!$B$4*(1+NORM.INV(RAND(),0,$J$4)))</f>
        <v/>
      </c>
      <c r="C955" s="12">
        <f>'Deal Analyzer'!$B$5*MAX(0.9,1+NORM.INV(RAND(),$J$5,$J$6))</f>
        <v/>
      </c>
      <c r="D955" s="12">
        <f>'Deal Analyzer'!$B$24+C955+B955*'Deal Analyzer'!$B$11</f>
        <v/>
      </c>
      <c r="E955" s="15">
        <f>IF(B955=0,0,(B955-D955)/B955)</f>
        <v/>
      </c>
      <c r="F955" s="2">
        <f>E955&gt;='Deal Analyzer'!$B$12</f>
        <v/>
      </c>
      <c r="G955" s="12">
        <f>IF(AND(F955,RAND()&lt;$J$7),'Deal Analyzer'!$B$8-'Deal Analyzer'!$B$10,-('Deal Analyzer'!$B$10+'Deal Analyzer'!$B$9*'Deal Analyzer'!$B$14))</f>
        <v/>
      </c>
      <c r="H955" s="2" t="n"/>
      <c r="I955" s="2" t="n"/>
      <c r="J955" s="2" t="n"/>
      <c r="K955" s="2" t="n"/>
    </row>
    <row r="956">
      <c r="A956" s="2" t="n">
        <v>945</v>
      </c>
      <c r="B956" s="12">
        <f>MAX(0,'Deal Analyzer'!$B$4*(1+NORM.INV(RAND(),0,$J$4)))</f>
        <v/>
      </c>
      <c r="C956" s="12">
        <f>'Deal Analyzer'!$B$5*MAX(0.9,1+NORM.INV(RAND(),$J$5,$J$6))</f>
        <v/>
      </c>
      <c r="D956" s="12">
        <f>'Deal Analyzer'!$B$24+C956+B956*'Deal Analyzer'!$B$11</f>
        <v/>
      </c>
      <c r="E956" s="15">
        <f>IF(B956=0,0,(B956-D956)/B956)</f>
        <v/>
      </c>
      <c r="F956" s="2">
        <f>E956&gt;='Deal Analyzer'!$B$12</f>
        <v/>
      </c>
      <c r="G956" s="12">
        <f>IF(AND(F956,RAND()&lt;$J$7),'Deal Analyzer'!$B$8-'Deal Analyzer'!$B$10,-('Deal Analyzer'!$B$10+'Deal Analyzer'!$B$9*'Deal Analyzer'!$B$14))</f>
        <v/>
      </c>
      <c r="H956" s="2" t="n"/>
      <c r="I956" s="2" t="n"/>
      <c r="J956" s="2" t="n"/>
      <c r="K956" s="2" t="n"/>
    </row>
    <row r="957">
      <c r="A957" s="2" t="n">
        <v>946</v>
      </c>
      <c r="B957" s="12">
        <f>MAX(0,'Deal Analyzer'!$B$4*(1+NORM.INV(RAND(),0,$J$4)))</f>
        <v/>
      </c>
      <c r="C957" s="12">
        <f>'Deal Analyzer'!$B$5*MAX(0.9,1+NORM.INV(RAND(),$J$5,$J$6))</f>
        <v/>
      </c>
      <c r="D957" s="12">
        <f>'Deal Analyzer'!$B$24+C957+B957*'Deal Analyzer'!$B$11</f>
        <v/>
      </c>
      <c r="E957" s="15">
        <f>IF(B957=0,0,(B957-D957)/B957)</f>
        <v/>
      </c>
      <c r="F957" s="2">
        <f>E957&gt;='Deal Analyzer'!$B$12</f>
        <v/>
      </c>
      <c r="G957" s="12">
        <f>IF(AND(F957,RAND()&lt;$J$7),'Deal Analyzer'!$B$8-'Deal Analyzer'!$B$10,-('Deal Analyzer'!$B$10+'Deal Analyzer'!$B$9*'Deal Analyzer'!$B$14))</f>
        <v/>
      </c>
      <c r="H957" s="2" t="n"/>
      <c r="I957" s="2" t="n"/>
      <c r="J957" s="2" t="n"/>
      <c r="K957" s="2" t="n"/>
    </row>
    <row r="958">
      <c r="A958" s="2" t="n">
        <v>947</v>
      </c>
      <c r="B958" s="12">
        <f>MAX(0,'Deal Analyzer'!$B$4*(1+NORM.INV(RAND(),0,$J$4)))</f>
        <v/>
      </c>
      <c r="C958" s="12">
        <f>'Deal Analyzer'!$B$5*MAX(0.9,1+NORM.INV(RAND(),$J$5,$J$6))</f>
        <v/>
      </c>
      <c r="D958" s="12">
        <f>'Deal Analyzer'!$B$24+C958+B958*'Deal Analyzer'!$B$11</f>
        <v/>
      </c>
      <c r="E958" s="15">
        <f>IF(B958=0,0,(B958-D958)/B958)</f>
        <v/>
      </c>
      <c r="F958" s="2">
        <f>E958&gt;='Deal Analyzer'!$B$12</f>
        <v/>
      </c>
      <c r="G958" s="12">
        <f>IF(AND(F958,RAND()&lt;$J$7),'Deal Analyzer'!$B$8-'Deal Analyzer'!$B$10,-('Deal Analyzer'!$B$10+'Deal Analyzer'!$B$9*'Deal Analyzer'!$B$14))</f>
        <v/>
      </c>
      <c r="H958" s="2" t="n"/>
      <c r="I958" s="2" t="n"/>
      <c r="J958" s="2" t="n"/>
      <c r="K958" s="2" t="n"/>
    </row>
    <row r="959">
      <c r="A959" s="2" t="n">
        <v>948</v>
      </c>
      <c r="B959" s="12">
        <f>MAX(0,'Deal Analyzer'!$B$4*(1+NORM.INV(RAND(),0,$J$4)))</f>
        <v/>
      </c>
      <c r="C959" s="12">
        <f>'Deal Analyzer'!$B$5*MAX(0.9,1+NORM.INV(RAND(),$J$5,$J$6))</f>
        <v/>
      </c>
      <c r="D959" s="12">
        <f>'Deal Analyzer'!$B$24+C959+B959*'Deal Analyzer'!$B$11</f>
        <v/>
      </c>
      <c r="E959" s="15">
        <f>IF(B959=0,0,(B959-D959)/B959)</f>
        <v/>
      </c>
      <c r="F959" s="2">
        <f>E959&gt;='Deal Analyzer'!$B$12</f>
        <v/>
      </c>
      <c r="G959" s="12">
        <f>IF(AND(F959,RAND()&lt;$J$7),'Deal Analyzer'!$B$8-'Deal Analyzer'!$B$10,-('Deal Analyzer'!$B$10+'Deal Analyzer'!$B$9*'Deal Analyzer'!$B$14))</f>
        <v/>
      </c>
      <c r="H959" s="2" t="n"/>
      <c r="I959" s="2" t="n"/>
      <c r="J959" s="2" t="n"/>
      <c r="K959" s="2" t="n"/>
    </row>
    <row r="960">
      <c r="A960" s="2" t="n">
        <v>949</v>
      </c>
      <c r="B960" s="12">
        <f>MAX(0,'Deal Analyzer'!$B$4*(1+NORM.INV(RAND(),0,$J$4)))</f>
        <v/>
      </c>
      <c r="C960" s="12">
        <f>'Deal Analyzer'!$B$5*MAX(0.9,1+NORM.INV(RAND(),$J$5,$J$6))</f>
        <v/>
      </c>
      <c r="D960" s="12">
        <f>'Deal Analyzer'!$B$24+C960+B960*'Deal Analyzer'!$B$11</f>
        <v/>
      </c>
      <c r="E960" s="15">
        <f>IF(B960=0,0,(B960-D960)/B960)</f>
        <v/>
      </c>
      <c r="F960" s="2">
        <f>E960&gt;='Deal Analyzer'!$B$12</f>
        <v/>
      </c>
      <c r="G960" s="12">
        <f>IF(AND(F960,RAND()&lt;$J$7),'Deal Analyzer'!$B$8-'Deal Analyzer'!$B$10,-('Deal Analyzer'!$B$10+'Deal Analyzer'!$B$9*'Deal Analyzer'!$B$14))</f>
        <v/>
      </c>
      <c r="H960" s="2" t="n"/>
      <c r="I960" s="2" t="n"/>
      <c r="J960" s="2" t="n"/>
      <c r="K960" s="2" t="n"/>
    </row>
    <row r="961">
      <c r="A961" s="2" t="n">
        <v>950</v>
      </c>
      <c r="B961" s="12">
        <f>MAX(0,'Deal Analyzer'!$B$4*(1+NORM.INV(RAND(),0,$J$4)))</f>
        <v/>
      </c>
      <c r="C961" s="12">
        <f>'Deal Analyzer'!$B$5*MAX(0.9,1+NORM.INV(RAND(),$J$5,$J$6))</f>
        <v/>
      </c>
      <c r="D961" s="12">
        <f>'Deal Analyzer'!$B$24+C961+B961*'Deal Analyzer'!$B$11</f>
        <v/>
      </c>
      <c r="E961" s="15">
        <f>IF(B961=0,0,(B961-D961)/B961)</f>
        <v/>
      </c>
      <c r="F961" s="2">
        <f>E961&gt;='Deal Analyzer'!$B$12</f>
        <v/>
      </c>
      <c r="G961" s="12">
        <f>IF(AND(F961,RAND()&lt;$J$7),'Deal Analyzer'!$B$8-'Deal Analyzer'!$B$10,-('Deal Analyzer'!$B$10+'Deal Analyzer'!$B$9*'Deal Analyzer'!$B$14))</f>
        <v/>
      </c>
      <c r="H961" s="2" t="n"/>
      <c r="I961" s="2" t="n"/>
      <c r="J961" s="2" t="n"/>
      <c r="K961" s="2" t="n"/>
    </row>
    <row r="962">
      <c r="A962" s="2" t="n">
        <v>951</v>
      </c>
      <c r="B962" s="12">
        <f>MAX(0,'Deal Analyzer'!$B$4*(1+NORM.INV(RAND(),0,$J$4)))</f>
        <v/>
      </c>
      <c r="C962" s="12">
        <f>'Deal Analyzer'!$B$5*MAX(0.9,1+NORM.INV(RAND(),$J$5,$J$6))</f>
        <v/>
      </c>
      <c r="D962" s="12">
        <f>'Deal Analyzer'!$B$24+C962+B962*'Deal Analyzer'!$B$11</f>
        <v/>
      </c>
      <c r="E962" s="15">
        <f>IF(B962=0,0,(B962-D962)/B962)</f>
        <v/>
      </c>
      <c r="F962" s="2">
        <f>E962&gt;='Deal Analyzer'!$B$12</f>
        <v/>
      </c>
      <c r="G962" s="12">
        <f>IF(AND(F962,RAND()&lt;$J$7),'Deal Analyzer'!$B$8-'Deal Analyzer'!$B$10,-('Deal Analyzer'!$B$10+'Deal Analyzer'!$B$9*'Deal Analyzer'!$B$14))</f>
        <v/>
      </c>
      <c r="H962" s="2" t="n"/>
      <c r="I962" s="2" t="n"/>
      <c r="J962" s="2" t="n"/>
      <c r="K962" s="2" t="n"/>
    </row>
    <row r="963">
      <c r="A963" s="2" t="n">
        <v>952</v>
      </c>
      <c r="B963" s="12">
        <f>MAX(0,'Deal Analyzer'!$B$4*(1+NORM.INV(RAND(),0,$J$4)))</f>
        <v/>
      </c>
      <c r="C963" s="12">
        <f>'Deal Analyzer'!$B$5*MAX(0.9,1+NORM.INV(RAND(),$J$5,$J$6))</f>
        <v/>
      </c>
      <c r="D963" s="12">
        <f>'Deal Analyzer'!$B$24+C963+B963*'Deal Analyzer'!$B$11</f>
        <v/>
      </c>
      <c r="E963" s="15">
        <f>IF(B963=0,0,(B963-D963)/B963)</f>
        <v/>
      </c>
      <c r="F963" s="2">
        <f>E963&gt;='Deal Analyzer'!$B$12</f>
        <v/>
      </c>
      <c r="G963" s="12">
        <f>IF(AND(F963,RAND()&lt;$J$7),'Deal Analyzer'!$B$8-'Deal Analyzer'!$B$10,-('Deal Analyzer'!$B$10+'Deal Analyzer'!$B$9*'Deal Analyzer'!$B$14))</f>
        <v/>
      </c>
      <c r="H963" s="2" t="n"/>
      <c r="I963" s="2" t="n"/>
      <c r="J963" s="2" t="n"/>
      <c r="K963" s="2" t="n"/>
    </row>
    <row r="964">
      <c r="A964" s="2" t="n">
        <v>953</v>
      </c>
      <c r="B964" s="12">
        <f>MAX(0,'Deal Analyzer'!$B$4*(1+NORM.INV(RAND(),0,$J$4)))</f>
        <v/>
      </c>
      <c r="C964" s="12">
        <f>'Deal Analyzer'!$B$5*MAX(0.9,1+NORM.INV(RAND(),$J$5,$J$6))</f>
        <v/>
      </c>
      <c r="D964" s="12">
        <f>'Deal Analyzer'!$B$24+C964+B964*'Deal Analyzer'!$B$11</f>
        <v/>
      </c>
      <c r="E964" s="15">
        <f>IF(B964=0,0,(B964-D964)/B964)</f>
        <v/>
      </c>
      <c r="F964" s="2">
        <f>E964&gt;='Deal Analyzer'!$B$12</f>
        <v/>
      </c>
      <c r="G964" s="12">
        <f>IF(AND(F964,RAND()&lt;$J$7),'Deal Analyzer'!$B$8-'Deal Analyzer'!$B$10,-('Deal Analyzer'!$B$10+'Deal Analyzer'!$B$9*'Deal Analyzer'!$B$14))</f>
        <v/>
      </c>
      <c r="H964" s="2" t="n"/>
      <c r="I964" s="2" t="n"/>
      <c r="J964" s="2" t="n"/>
      <c r="K964" s="2" t="n"/>
    </row>
    <row r="965">
      <c r="A965" s="2" t="n">
        <v>954</v>
      </c>
      <c r="B965" s="12">
        <f>MAX(0,'Deal Analyzer'!$B$4*(1+NORM.INV(RAND(),0,$J$4)))</f>
        <v/>
      </c>
      <c r="C965" s="12">
        <f>'Deal Analyzer'!$B$5*MAX(0.9,1+NORM.INV(RAND(),$J$5,$J$6))</f>
        <v/>
      </c>
      <c r="D965" s="12">
        <f>'Deal Analyzer'!$B$24+C965+B965*'Deal Analyzer'!$B$11</f>
        <v/>
      </c>
      <c r="E965" s="15">
        <f>IF(B965=0,0,(B965-D965)/B965)</f>
        <v/>
      </c>
      <c r="F965" s="2">
        <f>E965&gt;='Deal Analyzer'!$B$12</f>
        <v/>
      </c>
      <c r="G965" s="12">
        <f>IF(AND(F965,RAND()&lt;$J$7),'Deal Analyzer'!$B$8-'Deal Analyzer'!$B$10,-('Deal Analyzer'!$B$10+'Deal Analyzer'!$B$9*'Deal Analyzer'!$B$14))</f>
        <v/>
      </c>
      <c r="H965" s="2" t="n"/>
      <c r="I965" s="2" t="n"/>
      <c r="J965" s="2" t="n"/>
      <c r="K965" s="2" t="n"/>
    </row>
    <row r="966">
      <c r="A966" s="2" t="n">
        <v>955</v>
      </c>
      <c r="B966" s="12">
        <f>MAX(0,'Deal Analyzer'!$B$4*(1+NORM.INV(RAND(),0,$J$4)))</f>
        <v/>
      </c>
      <c r="C966" s="12">
        <f>'Deal Analyzer'!$B$5*MAX(0.9,1+NORM.INV(RAND(),$J$5,$J$6))</f>
        <v/>
      </c>
      <c r="D966" s="12">
        <f>'Deal Analyzer'!$B$24+C966+B966*'Deal Analyzer'!$B$11</f>
        <v/>
      </c>
      <c r="E966" s="15">
        <f>IF(B966=0,0,(B966-D966)/B966)</f>
        <v/>
      </c>
      <c r="F966" s="2">
        <f>E966&gt;='Deal Analyzer'!$B$12</f>
        <v/>
      </c>
      <c r="G966" s="12">
        <f>IF(AND(F966,RAND()&lt;$J$7),'Deal Analyzer'!$B$8-'Deal Analyzer'!$B$10,-('Deal Analyzer'!$B$10+'Deal Analyzer'!$B$9*'Deal Analyzer'!$B$14))</f>
        <v/>
      </c>
      <c r="H966" s="2" t="n"/>
      <c r="I966" s="2" t="n"/>
      <c r="J966" s="2" t="n"/>
      <c r="K966" s="2" t="n"/>
    </row>
    <row r="967">
      <c r="A967" s="2" t="n">
        <v>956</v>
      </c>
      <c r="B967" s="12">
        <f>MAX(0,'Deal Analyzer'!$B$4*(1+NORM.INV(RAND(),0,$J$4)))</f>
        <v/>
      </c>
      <c r="C967" s="12">
        <f>'Deal Analyzer'!$B$5*MAX(0.9,1+NORM.INV(RAND(),$J$5,$J$6))</f>
        <v/>
      </c>
      <c r="D967" s="12">
        <f>'Deal Analyzer'!$B$24+C967+B967*'Deal Analyzer'!$B$11</f>
        <v/>
      </c>
      <c r="E967" s="15">
        <f>IF(B967=0,0,(B967-D967)/B967)</f>
        <v/>
      </c>
      <c r="F967" s="2">
        <f>E967&gt;='Deal Analyzer'!$B$12</f>
        <v/>
      </c>
      <c r="G967" s="12">
        <f>IF(AND(F967,RAND()&lt;$J$7),'Deal Analyzer'!$B$8-'Deal Analyzer'!$B$10,-('Deal Analyzer'!$B$10+'Deal Analyzer'!$B$9*'Deal Analyzer'!$B$14))</f>
        <v/>
      </c>
      <c r="H967" s="2" t="n"/>
      <c r="I967" s="2" t="n"/>
      <c r="J967" s="2" t="n"/>
      <c r="K967" s="2" t="n"/>
    </row>
    <row r="968">
      <c r="A968" s="2" t="n">
        <v>957</v>
      </c>
      <c r="B968" s="12">
        <f>MAX(0,'Deal Analyzer'!$B$4*(1+NORM.INV(RAND(),0,$J$4)))</f>
        <v/>
      </c>
      <c r="C968" s="12">
        <f>'Deal Analyzer'!$B$5*MAX(0.9,1+NORM.INV(RAND(),$J$5,$J$6))</f>
        <v/>
      </c>
      <c r="D968" s="12">
        <f>'Deal Analyzer'!$B$24+C968+B968*'Deal Analyzer'!$B$11</f>
        <v/>
      </c>
      <c r="E968" s="15">
        <f>IF(B968=0,0,(B968-D968)/B968)</f>
        <v/>
      </c>
      <c r="F968" s="2">
        <f>E968&gt;='Deal Analyzer'!$B$12</f>
        <v/>
      </c>
      <c r="G968" s="12">
        <f>IF(AND(F968,RAND()&lt;$J$7),'Deal Analyzer'!$B$8-'Deal Analyzer'!$B$10,-('Deal Analyzer'!$B$10+'Deal Analyzer'!$B$9*'Deal Analyzer'!$B$14))</f>
        <v/>
      </c>
      <c r="H968" s="2" t="n"/>
      <c r="I968" s="2" t="n"/>
      <c r="J968" s="2" t="n"/>
      <c r="K968" s="2" t="n"/>
    </row>
    <row r="969">
      <c r="A969" s="2" t="n">
        <v>958</v>
      </c>
      <c r="B969" s="12">
        <f>MAX(0,'Deal Analyzer'!$B$4*(1+NORM.INV(RAND(),0,$J$4)))</f>
        <v/>
      </c>
      <c r="C969" s="12">
        <f>'Deal Analyzer'!$B$5*MAX(0.9,1+NORM.INV(RAND(),$J$5,$J$6))</f>
        <v/>
      </c>
      <c r="D969" s="12">
        <f>'Deal Analyzer'!$B$24+C969+B969*'Deal Analyzer'!$B$11</f>
        <v/>
      </c>
      <c r="E969" s="15">
        <f>IF(B969=0,0,(B969-D969)/B969)</f>
        <v/>
      </c>
      <c r="F969" s="2">
        <f>E969&gt;='Deal Analyzer'!$B$12</f>
        <v/>
      </c>
      <c r="G969" s="12">
        <f>IF(AND(F969,RAND()&lt;$J$7),'Deal Analyzer'!$B$8-'Deal Analyzer'!$B$10,-('Deal Analyzer'!$B$10+'Deal Analyzer'!$B$9*'Deal Analyzer'!$B$14))</f>
        <v/>
      </c>
      <c r="H969" s="2" t="n"/>
      <c r="I969" s="2" t="n"/>
      <c r="J969" s="2" t="n"/>
      <c r="K969" s="2" t="n"/>
    </row>
    <row r="970">
      <c r="A970" s="2" t="n">
        <v>959</v>
      </c>
      <c r="B970" s="12">
        <f>MAX(0,'Deal Analyzer'!$B$4*(1+NORM.INV(RAND(),0,$J$4)))</f>
        <v/>
      </c>
      <c r="C970" s="12">
        <f>'Deal Analyzer'!$B$5*MAX(0.9,1+NORM.INV(RAND(),$J$5,$J$6))</f>
        <v/>
      </c>
      <c r="D970" s="12">
        <f>'Deal Analyzer'!$B$24+C970+B970*'Deal Analyzer'!$B$11</f>
        <v/>
      </c>
      <c r="E970" s="15">
        <f>IF(B970=0,0,(B970-D970)/B970)</f>
        <v/>
      </c>
      <c r="F970" s="2">
        <f>E970&gt;='Deal Analyzer'!$B$12</f>
        <v/>
      </c>
      <c r="G970" s="12">
        <f>IF(AND(F970,RAND()&lt;$J$7),'Deal Analyzer'!$B$8-'Deal Analyzer'!$B$10,-('Deal Analyzer'!$B$10+'Deal Analyzer'!$B$9*'Deal Analyzer'!$B$14))</f>
        <v/>
      </c>
      <c r="H970" s="2" t="n"/>
      <c r="I970" s="2" t="n"/>
      <c r="J970" s="2" t="n"/>
      <c r="K970" s="2" t="n"/>
    </row>
    <row r="971">
      <c r="A971" s="2" t="n">
        <v>960</v>
      </c>
      <c r="B971" s="12">
        <f>MAX(0,'Deal Analyzer'!$B$4*(1+NORM.INV(RAND(),0,$J$4)))</f>
        <v/>
      </c>
      <c r="C971" s="12">
        <f>'Deal Analyzer'!$B$5*MAX(0.9,1+NORM.INV(RAND(),$J$5,$J$6))</f>
        <v/>
      </c>
      <c r="D971" s="12">
        <f>'Deal Analyzer'!$B$24+C971+B971*'Deal Analyzer'!$B$11</f>
        <v/>
      </c>
      <c r="E971" s="15">
        <f>IF(B971=0,0,(B971-D971)/B971)</f>
        <v/>
      </c>
      <c r="F971" s="2">
        <f>E971&gt;='Deal Analyzer'!$B$12</f>
        <v/>
      </c>
      <c r="G971" s="12">
        <f>IF(AND(F971,RAND()&lt;$J$7),'Deal Analyzer'!$B$8-'Deal Analyzer'!$B$10,-('Deal Analyzer'!$B$10+'Deal Analyzer'!$B$9*'Deal Analyzer'!$B$14))</f>
        <v/>
      </c>
      <c r="H971" s="2" t="n"/>
      <c r="I971" s="2" t="n"/>
      <c r="J971" s="2" t="n"/>
      <c r="K971" s="2" t="n"/>
    </row>
    <row r="972">
      <c r="A972" s="2" t="n">
        <v>961</v>
      </c>
      <c r="B972" s="12">
        <f>MAX(0,'Deal Analyzer'!$B$4*(1+NORM.INV(RAND(),0,$J$4)))</f>
        <v/>
      </c>
      <c r="C972" s="12">
        <f>'Deal Analyzer'!$B$5*MAX(0.9,1+NORM.INV(RAND(),$J$5,$J$6))</f>
        <v/>
      </c>
      <c r="D972" s="12">
        <f>'Deal Analyzer'!$B$24+C972+B972*'Deal Analyzer'!$B$11</f>
        <v/>
      </c>
      <c r="E972" s="15">
        <f>IF(B972=0,0,(B972-D972)/B972)</f>
        <v/>
      </c>
      <c r="F972" s="2">
        <f>E972&gt;='Deal Analyzer'!$B$12</f>
        <v/>
      </c>
      <c r="G972" s="12">
        <f>IF(AND(F972,RAND()&lt;$J$7),'Deal Analyzer'!$B$8-'Deal Analyzer'!$B$10,-('Deal Analyzer'!$B$10+'Deal Analyzer'!$B$9*'Deal Analyzer'!$B$14))</f>
        <v/>
      </c>
      <c r="H972" s="2" t="n"/>
      <c r="I972" s="2" t="n"/>
      <c r="J972" s="2" t="n"/>
      <c r="K972" s="2" t="n"/>
    </row>
    <row r="973">
      <c r="A973" s="2" t="n">
        <v>962</v>
      </c>
      <c r="B973" s="12">
        <f>MAX(0,'Deal Analyzer'!$B$4*(1+NORM.INV(RAND(),0,$J$4)))</f>
        <v/>
      </c>
      <c r="C973" s="12">
        <f>'Deal Analyzer'!$B$5*MAX(0.9,1+NORM.INV(RAND(),$J$5,$J$6))</f>
        <v/>
      </c>
      <c r="D973" s="12">
        <f>'Deal Analyzer'!$B$24+C973+B973*'Deal Analyzer'!$B$11</f>
        <v/>
      </c>
      <c r="E973" s="15">
        <f>IF(B973=0,0,(B973-D973)/B973)</f>
        <v/>
      </c>
      <c r="F973" s="2">
        <f>E973&gt;='Deal Analyzer'!$B$12</f>
        <v/>
      </c>
      <c r="G973" s="12">
        <f>IF(AND(F973,RAND()&lt;$J$7),'Deal Analyzer'!$B$8-'Deal Analyzer'!$B$10,-('Deal Analyzer'!$B$10+'Deal Analyzer'!$B$9*'Deal Analyzer'!$B$14))</f>
        <v/>
      </c>
      <c r="H973" s="2" t="n"/>
      <c r="I973" s="2" t="n"/>
      <c r="J973" s="2" t="n"/>
      <c r="K973" s="2" t="n"/>
    </row>
    <row r="974">
      <c r="A974" s="2" t="n">
        <v>963</v>
      </c>
      <c r="B974" s="12">
        <f>MAX(0,'Deal Analyzer'!$B$4*(1+NORM.INV(RAND(),0,$J$4)))</f>
        <v/>
      </c>
      <c r="C974" s="12">
        <f>'Deal Analyzer'!$B$5*MAX(0.9,1+NORM.INV(RAND(),$J$5,$J$6))</f>
        <v/>
      </c>
      <c r="D974" s="12">
        <f>'Deal Analyzer'!$B$24+C974+B974*'Deal Analyzer'!$B$11</f>
        <v/>
      </c>
      <c r="E974" s="15">
        <f>IF(B974=0,0,(B974-D974)/B974)</f>
        <v/>
      </c>
      <c r="F974" s="2">
        <f>E974&gt;='Deal Analyzer'!$B$12</f>
        <v/>
      </c>
      <c r="G974" s="12">
        <f>IF(AND(F974,RAND()&lt;$J$7),'Deal Analyzer'!$B$8-'Deal Analyzer'!$B$10,-('Deal Analyzer'!$B$10+'Deal Analyzer'!$B$9*'Deal Analyzer'!$B$14))</f>
        <v/>
      </c>
      <c r="H974" s="2" t="n"/>
      <c r="I974" s="2" t="n"/>
      <c r="J974" s="2" t="n"/>
      <c r="K974" s="2" t="n"/>
    </row>
    <row r="975">
      <c r="A975" s="2" t="n">
        <v>964</v>
      </c>
      <c r="B975" s="12">
        <f>MAX(0,'Deal Analyzer'!$B$4*(1+NORM.INV(RAND(),0,$J$4)))</f>
        <v/>
      </c>
      <c r="C975" s="12">
        <f>'Deal Analyzer'!$B$5*MAX(0.9,1+NORM.INV(RAND(),$J$5,$J$6))</f>
        <v/>
      </c>
      <c r="D975" s="12">
        <f>'Deal Analyzer'!$B$24+C975+B975*'Deal Analyzer'!$B$11</f>
        <v/>
      </c>
      <c r="E975" s="15">
        <f>IF(B975=0,0,(B975-D975)/B975)</f>
        <v/>
      </c>
      <c r="F975" s="2">
        <f>E975&gt;='Deal Analyzer'!$B$12</f>
        <v/>
      </c>
      <c r="G975" s="12">
        <f>IF(AND(F975,RAND()&lt;$J$7),'Deal Analyzer'!$B$8-'Deal Analyzer'!$B$10,-('Deal Analyzer'!$B$10+'Deal Analyzer'!$B$9*'Deal Analyzer'!$B$14))</f>
        <v/>
      </c>
      <c r="H975" s="2" t="n"/>
      <c r="I975" s="2" t="n"/>
      <c r="J975" s="2" t="n"/>
      <c r="K975" s="2" t="n"/>
    </row>
    <row r="976">
      <c r="A976" s="2" t="n">
        <v>965</v>
      </c>
      <c r="B976" s="12">
        <f>MAX(0,'Deal Analyzer'!$B$4*(1+NORM.INV(RAND(),0,$J$4)))</f>
        <v/>
      </c>
      <c r="C976" s="12">
        <f>'Deal Analyzer'!$B$5*MAX(0.9,1+NORM.INV(RAND(),$J$5,$J$6))</f>
        <v/>
      </c>
      <c r="D976" s="12">
        <f>'Deal Analyzer'!$B$24+C976+B976*'Deal Analyzer'!$B$11</f>
        <v/>
      </c>
      <c r="E976" s="15">
        <f>IF(B976=0,0,(B976-D976)/B976)</f>
        <v/>
      </c>
      <c r="F976" s="2">
        <f>E976&gt;='Deal Analyzer'!$B$12</f>
        <v/>
      </c>
      <c r="G976" s="12">
        <f>IF(AND(F976,RAND()&lt;$J$7),'Deal Analyzer'!$B$8-'Deal Analyzer'!$B$10,-('Deal Analyzer'!$B$10+'Deal Analyzer'!$B$9*'Deal Analyzer'!$B$14))</f>
        <v/>
      </c>
      <c r="H976" s="2" t="n"/>
      <c r="I976" s="2" t="n"/>
      <c r="J976" s="2" t="n"/>
      <c r="K976" s="2" t="n"/>
    </row>
    <row r="977">
      <c r="A977" s="2" t="n">
        <v>966</v>
      </c>
      <c r="B977" s="12">
        <f>MAX(0,'Deal Analyzer'!$B$4*(1+NORM.INV(RAND(),0,$J$4)))</f>
        <v/>
      </c>
      <c r="C977" s="12">
        <f>'Deal Analyzer'!$B$5*MAX(0.9,1+NORM.INV(RAND(),$J$5,$J$6))</f>
        <v/>
      </c>
      <c r="D977" s="12">
        <f>'Deal Analyzer'!$B$24+C977+B977*'Deal Analyzer'!$B$11</f>
        <v/>
      </c>
      <c r="E977" s="15">
        <f>IF(B977=0,0,(B977-D977)/B977)</f>
        <v/>
      </c>
      <c r="F977" s="2">
        <f>E977&gt;='Deal Analyzer'!$B$12</f>
        <v/>
      </c>
      <c r="G977" s="12">
        <f>IF(AND(F977,RAND()&lt;$J$7),'Deal Analyzer'!$B$8-'Deal Analyzer'!$B$10,-('Deal Analyzer'!$B$10+'Deal Analyzer'!$B$9*'Deal Analyzer'!$B$14))</f>
        <v/>
      </c>
      <c r="H977" s="2" t="n"/>
      <c r="I977" s="2" t="n"/>
      <c r="J977" s="2" t="n"/>
      <c r="K977" s="2" t="n"/>
    </row>
    <row r="978">
      <c r="A978" s="2" t="n">
        <v>967</v>
      </c>
      <c r="B978" s="12">
        <f>MAX(0,'Deal Analyzer'!$B$4*(1+NORM.INV(RAND(),0,$J$4)))</f>
        <v/>
      </c>
      <c r="C978" s="12">
        <f>'Deal Analyzer'!$B$5*MAX(0.9,1+NORM.INV(RAND(),$J$5,$J$6))</f>
        <v/>
      </c>
      <c r="D978" s="12">
        <f>'Deal Analyzer'!$B$24+C978+B978*'Deal Analyzer'!$B$11</f>
        <v/>
      </c>
      <c r="E978" s="15">
        <f>IF(B978=0,0,(B978-D978)/B978)</f>
        <v/>
      </c>
      <c r="F978" s="2">
        <f>E978&gt;='Deal Analyzer'!$B$12</f>
        <v/>
      </c>
      <c r="G978" s="12">
        <f>IF(AND(F978,RAND()&lt;$J$7),'Deal Analyzer'!$B$8-'Deal Analyzer'!$B$10,-('Deal Analyzer'!$B$10+'Deal Analyzer'!$B$9*'Deal Analyzer'!$B$14))</f>
        <v/>
      </c>
      <c r="H978" s="2" t="n"/>
      <c r="I978" s="2" t="n"/>
      <c r="J978" s="2" t="n"/>
      <c r="K978" s="2" t="n"/>
    </row>
    <row r="979">
      <c r="A979" s="2" t="n">
        <v>968</v>
      </c>
      <c r="B979" s="12">
        <f>MAX(0,'Deal Analyzer'!$B$4*(1+NORM.INV(RAND(),0,$J$4)))</f>
        <v/>
      </c>
      <c r="C979" s="12">
        <f>'Deal Analyzer'!$B$5*MAX(0.9,1+NORM.INV(RAND(),$J$5,$J$6))</f>
        <v/>
      </c>
      <c r="D979" s="12">
        <f>'Deal Analyzer'!$B$24+C979+B979*'Deal Analyzer'!$B$11</f>
        <v/>
      </c>
      <c r="E979" s="15">
        <f>IF(B979=0,0,(B979-D979)/B979)</f>
        <v/>
      </c>
      <c r="F979" s="2">
        <f>E979&gt;='Deal Analyzer'!$B$12</f>
        <v/>
      </c>
      <c r="G979" s="12">
        <f>IF(AND(F979,RAND()&lt;$J$7),'Deal Analyzer'!$B$8-'Deal Analyzer'!$B$10,-('Deal Analyzer'!$B$10+'Deal Analyzer'!$B$9*'Deal Analyzer'!$B$14))</f>
        <v/>
      </c>
      <c r="H979" s="2" t="n"/>
      <c r="I979" s="2" t="n"/>
      <c r="J979" s="2" t="n"/>
      <c r="K979" s="2" t="n"/>
    </row>
    <row r="980">
      <c r="A980" s="2" t="n">
        <v>969</v>
      </c>
      <c r="B980" s="12">
        <f>MAX(0,'Deal Analyzer'!$B$4*(1+NORM.INV(RAND(),0,$J$4)))</f>
        <v/>
      </c>
      <c r="C980" s="12">
        <f>'Deal Analyzer'!$B$5*MAX(0.9,1+NORM.INV(RAND(),$J$5,$J$6))</f>
        <v/>
      </c>
      <c r="D980" s="12">
        <f>'Deal Analyzer'!$B$24+C980+B980*'Deal Analyzer'!$B$11</f>
        <v/>
      </c>
      <c r="E980" s="15">
        <f>IF(B980=0,0,(B980-D980)/B980)</f>
        <v/>
      </c>
      <c r="F980" s="2">
        <f>E980&gt;='Deal Analyzer'!$B$12</f>
        <v/>
      </c>
      <c r="G980" s="12">
        <f>IF(AND(F980,RAND()&lt;$J$7),'Deal Analyzer'!$B$8-'Deal Analyzer'!$B$10,-('Deal Analyzer'!$B$10+'Deal Analyzer'!$B$9*'Deal Analyzer'!$B$14))</f>
        <v/>
      </c>
      <c r="H980" s="2" t="n"/>
      <c r="I980" s="2" t="n"/>
      <c r="J980" s="2" t="n"/>
      <c r="K980" s="2" t="n"/>
    </row>
    <row r="981">
      <c r="A981" s="2" t="n">
        <v>970</v>
      </c>
      <c r="B981" s="12">
        <f>MAX(0,'Deal Analyzer'!$B$4*(1+NORM.INV(RAND(),0,$J$4)))</f>
        <v/>
      </c>
      <c r="C981" s="12">
        <f>'Deal Analyzer'!$B$5*MAX(0.9,1+NORM.INV(RAND(),$J$5,$J$6))</f>
        <v/>
      </c>
      <c r="D981" s="12">
        <f>'Deal Analyzer'!$B$24+C981+B981*'Deal Analyzer'!$B$11</f>
        <v/>
      </c>
      <c r="E981" s="15">
        <f>IF(B981=0,0,(B981-D981)/B981)</f>
        <v/>
      </c>
      <c r="F981" s="2">
        <f>E981&gt;='Deal Analyzer'!$B$12</f>
        <v/>
      </c>
      <c r="G981" s="12">
        <f>IF(AND(F981,RAND()&lt;$J$7),'Deal Analyzer'!$B$8-'Deal Analyzer'!$B$10,-('Deal Analyzer'!$B$10+'Deal Analyzer'!$B$9*'Deal Analyzer'!$B$14))</f>
        <v/>
      </c>
      <c r="H981" s="2" t="n"/>
      <c r="I981" s="2" t="n"/>
      <c r="J981" s="2" t="n"/>
      <c r="K981" s="2" t="n"/>
    </row>
    <row r="982">
      <c r="A982" s="2" t="n">
        <v>971</v>
      </c>
      <c r="B982" s="12">
        <f>MAX(0,'Deal Analyzer'!$B$4*(1+NORM.INV(RAND(),0,$J$4)))</f>
        <v/>
      </c>
      <c r="C982" s="12">
        <f>'Deal Analyzer'!$B$5*MAX(0.9,1+NORM.INV(RAND(),$J$5,$J$6))</f>
        <v/>
      </c>
      <c r="D982" s="12">
        <f>'Deal Analyzer'!$B$24+C982+B982*'Deal Analyzer'!$B$11</f>
        <v/>
      </c>
      <c r="E982" s="15">
        <f>IF(B982=0,0,(B982-D982)/B982)</f>
        <v/>
      </c>
      <c r="F982" s="2">
        <f>E982&gt;='Deal Analyzer'!$B$12</f>
        <v/>
      </c>
      <c r="G982" s="12">
        <f>IF(AND(F982,RAND()&lt;$J$7),'Deal Analyzer'!$B$8-'Deal Analyzer'!$B$10,-('Deal Analyzer'!$B$10+'Deal Analyzer'!$B$9*'Deal Analyzer'!$B$14))</f>
        <v/>
      </c>
      <c r="H982" s="2" t="n"/>
      <c r="I982" s="2" t="n"/>
      <c r="J982" s="2" t="n"/>
      <c r="K982" s="2" t="n"/>
    </row>
    <row r="983">
      <c r="A983" s="2" t="n">
        <v>972</v>
      </c>
      <c r="B983" s="12">
        <f>MAX(0,'Deal Analyzer'!$B$4*(1+NORM.INV(RAND(),0,$J$4)))</f>
        <v/>
      </c>
      <c r="C983" s="12">
        <f>'Deal Analyzer'!$B$5*MAX(0.9,1+NORM.INV(RAND(),$J$5,$J$6))</f>
        <v/>
      </c>
      <c r="D983" s="12">
        <f>'Deal Analyzer'!$B$24+C983+B983*'Deal Analyzer'!$B$11</f>
        <v/>
      </c>
      <c r="E983" s="15">
        <f>IF(B983=0,0,(B983-D983)/B983)</f>
        <v/>
      </c>
      <c r="F983" s="2">
        <f>E983&gt;='Deal Analyzer'!$B$12</f>
        <v/>
      </c>
      <c r="G983" s="12">
        <f>IF(AND(F983,RAND()&lt;$J$7),'Deal Analyzer'!$B$8-'Deal Analyzer'!$B$10,-('Deal Analyzer'!$B$10+'Deal Analyzer'!$B$9*'Deal Analyzer'!$B$14))</f>
        <v/>
      </c>
      <c r="H983" s="2" t="n"/>
      <c r="I983" s="2" t="n"/>
      <c r="J983" s="2" t="n"/>
      <c r="K983" s="2" t="n"/>
    </row>
    <row r="984">
      <c r="A984" s="2" t="n">
        <v>973</v>
      </c>
      <c r="B984" s="12">
        <f>MAX(0,'Deal Analyzer'!$B$4*(1+NORM.INV(RAND(),0,$J$4)))</f>
        <v/>
      </c>
      <c r="C984" s="12">
        <f>'Deal Analyzer'!$B$5*MAX(0.9,1+NORM.INV(RAND(),$J$5,$J$6))</f>
        <v/>
      </c>
      <c r="D984" s="12">
        <f>'Deal Analyzer'!$B$24+C984+B984*'Deal Analyzer'!$B$11</f>
        <v/>
      </c>
      <c r="E984" s="15">
        <f>IF(B984=0,0,(B984-D984)/B984)</f>
        <v/>
      </c>
      <c r="F984" s="2">
        <f>E984&gt;='Deal Analyzer'!$B$12</f>
        <v/>
      </c>
      <c r="G984" s="12">
        <f>IF(AND(F984,RAND()&lt;$J$7),'Deal Analyzer'!$B$8-'Deal Analyzer'!$B$10,-('Deal Analyzer'!$B$10+'Deal Analyzer'!$B$9*'Deal Analyzer'!$B$14))</f>
        <v/>
      </c>
      <c r="H984" s="2" t="n"/>
      <c r="I984" s="2" t="n"/>
      <c r="J984" s="2" t="n"/>
      <c r="K984" s="2" t="n"/>
    </row>
    <row r="985">
      <c r="A985" s="2" t="n">
        <v>974</v>
      </c>
      <c r="B985" s="12">
        <f>MAX(0,'Deal Analyzer'!$B$4*(1+NORM.INV(RAND(),0,$J$4)))</f>
        <v/>
      </c>
      <c r="C985" s="12">
        <f>'Deal Analyzer'!$B$5*MAX(0.9,1+NORM.INV(RAND(),$J$5,$J$6))</f>
        <v/>
      </c>
      <c r="D985" s="12">
        <f>'Deal Analyzer'!$B$24+C985+B985*'Deal Analyzer'!$B$11</f>
        <v/>
      </c>
      <c r="E985" s="15">
        <f>IF(B985=0,0,(B985-D985)/B985)</f>
        <v/>
      </c>
      <c r="F985" s="2">
        <f>E985&gt;='Deal Analyzer'!$B$12</f>
        <v/>
      </c>
      <c r="G985" s="12">
        <f>IF(AND(F985,RAND()&lt;$J$7),'Deal Analyzer'!$B$8-'Deal Analyzer'!$B$10,-('Deal Analyzer'!$B$10+'Deal Analyzer'!$B$9*'Deal Analyzer'!$B$14))</f>
        <v/>
      </c>
      <c r="H985" s="2" t="n"/>
      <c r="I985" s="2" t="n"/>
      <c r="J985" s="2" t="n"/>
      <c r="K985" s="2" t="n"/>
    </row>
    <row r="986">
      <c r="A986" s="2" t="n">
        <v>975</v>
      </c>
      <c r="B986" s="12">
        <f>MAX(0,'Deal Analyzer'!$B$4*(1+NORM.INV(RAND(),0,$J$4)))</f>
        <v/>
      </c>
      <c r="C986" s="12">
        <f>'Deal Analyzer'!$B$5*MAX(0.9,1+NORM.INV(RAND(),$J$5,$J$6))</f>
        <v/>
      </c>
      <c r="D986" s="12">
        <f>'Deal Analyzer'!$B$24+C986+B986*'Deal Analyzer'!$B$11</f>
        <v/>
      </c>
      <c r="E986" s="15">
        <f>IF(B986=0,0,(B986-D986)/B986)</f>
        <v/>
      </c>
      <c r="F986" s="2">
        <f>E986&gt;='Deal Analyzer'!$B$12</f>
        <v/>
      </c>
      <c r="G986" s="12">
        <f>IF(AND(F986,RAND()&lt;$J$7),'Deal Analyzer'!$B$8-'Deal Analyzer'!$B$10,-('Deal Analyzer'!$B$10+'Deal Analyzer'!$B$9*'Deal Analyzer'!$B$14))</f>
        <v/>
      </c>
      <c r="H986" s="2" t="n"/>
      <c r="I986" s="2" t="n"/>
      <c r="J986" s="2" t="n"/>
      <c r="K986" s="2" t="n"/>
    </row>
    <row r="987">
      <c r="A987" s="2" t="n">
        <v>976</v>
      </c>
      <c r="B987" s="12">
        <f>MAX(0,'Deal Analyzer'!$B$4*(1+NORM.INV(RAND(),0,$J$4)))</f>
        <v/>
      </c>
      <c r="C987" s="12">
        <f>'Deal Analyzer'!$B$5*MAX(0.9,1+NORM.INV(RAND(),$J$5,$J$6))</f>
        <v/>
      </c>
      <c r="D987" s="12">
        <f>'Deal Analyzer'!$B$24+C987+B987*'Deal Analyzer'!$B$11</f>
        <v/>
      </c>
      <c r="E987" s="15">
        <f>IF(B987=0,0,(B987-D987)/B987)</f>
        <v/>
      </c>
      <c r="F987" s="2">
        <f>E987&gt;='Deal Analyzer'!$B$12</f>
        <v/>
      </c>
      <c r="G987" s="12">
        <f>IF(AND(F987,RAND()&lt;$J$7),'Deal Analyzer'!$B$8-'Deal Analyzer'!$B$10,-('Deal Analyzer'!$B$10+'Deal Analyzer'!$B$9*'Deal Analyzer'!$B$14))</f>
        <v/>
      </c>
      <c r="H987" s="2" t="n"/>
      <c r="I987" s="2" t="n"/>
      <c r="J987" s="2" t="n"/>
      <c r="K987" s="2" t="n"/>
    </row>
    <row r="988">
      <c r="A988" s="2" t="n">
        <v>977</v>
      </c>
      <c r="B988" s="12">
        <f>MAX(0,'Deal Analyzer'!$B$4*(1+NORM.INV(RAND(),0,$J$4)))</f>
        <v/>
      </c>
      <c r="C988" s="12">
        <f>'Deal Analyzer'!$B$5*MAX(0.9,1+NORM.INV(RAND(),$J$5,$J$6))</f>
        <v/>
      </c>
      <c r="D988" s="12">
        <f>'Deal Analyzer'!$B$24+C988+B988*'Deal Analyzer'!$B$11</f>
        <v/>
      </c>
      <c r="E988" s="15">
        <f>IF(B988=0,0,(B988-D988)/B988)</f>
        <v/>
      </c>
      <c r="F988" s="2">
        <f>E988&gt;='Deal Analyzer'!$B$12</f>
        <v/>
      </c>
      <c r="G988" s="12">
        <f>IF(AND(F988,RAND()&lt;$J$7),'Deal Analyzer'!$B$8-'Deal Analyzer'!$B$10,-('Deal Analyzer'!$B$10+'Deal Analyzer'!$B$9*'Deal Analyzer'!$B$14))</f>
        <v/>
      </c>
      <c r="H988" s="2" t="n"/>
      <c r="I988" s="2" t="n"/>
      <c r="J988" s="2" t="n"/>
      <c r="K988" s="2" t="n"/>
    </row>
    <row r="989">
      <c r="A989" s="2" t="n">
        <v>978</v>
      </c>
      <c r="B989" s="12">
        <f>MAX(0,'Deal Analyzer'!$B$4*(1+NORM.INV(RAND(),0,$J$4)))</f>
        <v/>
      </c>
      <c r="C989" s="12">
        <f>'Deal Analyzer'!$B$5*MAX(0.9,1+NORM.INV(RAND(),$J$5,$J$6))</f>
        <v/>
      </c>
      <c r="D989" s="12">
        <f>'Deal Analyzer'!$B$24+C989+B989*'Deal Analyzer'!$B$11</f>
        <v/>
      </c>
      <c r="E989" s="15">
        <f>IF(B989=0,0,(B989-D989)/B989)</f>
        <v/>
      </c>
      <c r="F989" s="2">
        <f>E989&gt;='Deal Analyzer'!$B$12</f>
        <v/>
      </c>
      <c r="G989" s="12">
        <f>IF(AND(F989,RAND()&lt;$J$7),'Deal Analyzer'!$B$8-'Deal Analyzer'!$B$10,-('Deal Analyzer'!$B$10+'Deal Analyzer'!$B$9*'Deal Analyzer'!$B$14))</f>
        <v/>
      </c>
      <c r="H989" s="2" t="n"/>
      <c r="I989" s="2" t="n"/>
      <c r="J989" s="2" t="n"/>
      <c r="K989" s="2" t="n"/>
    </row>
    <row r="990">
      <c r="A990" s="2" t="n">
        <v>979</v>
      </c>
      <c r="B990" s="12">
        <f>MAX(0,'Deal Analyzer'!$B$4*(1+NORM.INV(RAND(),0,$J$4)))</f>
        <v/>
      </c>
      <c r="C990" s="12">
        <f>'Deal Analyzer'!$B$5*MAX(0.9,1+NORM.INV(RAND(),$J$5,$J$6))</f>
        <v/>
      </c>
      <c r="D990" s="12">
        <f>'Deal Analyzer'!$B$24+C990+B990*'Deal Analyzer'!$B$11</f>
        <v/>
      </c>
      <c r="E990" s="15">
        <f>IF(B990=0,0,(B990-D990)/B990)</f>
        <v/>
      </c>
      <c r="F990" s="2">
        <f>E990&gt;='Deal Analyzer'!$B$12</f>
        <v/>
      </c>
      <c r="G990" s="12">
        <f>IF(AND(F990,RAND()&lt;$J$7),'Deal Analyzer'!$B$8-'Deal Analyzer'!$B$10,-('Deal Analyzer'!$B$10+'Deal Analyzer'!$B$9*'Deal Analyzer'!$B$14))</f>
        <v/>
      </c>
      <c r="H990" s="2" t="n"/>
      <c r="I990" s="2" t="n"/>
      <c r="J990" s="2" t="n"/>
      <c r="K990" s="2" t="n"/>
    </row>
    <row r="991">
      <c r="A991" s="2" t="n">
        <v>980</v>
      </c>
      <c r="B991" s="12">
        <f>MAX(0,'Deal Analyzer'!$B$4*(1+NORM.INV(RAND(),0,$J$4)))</f>
        <v/>
      </c>
      <c r="C991" s="12">
        <f>'Deal Analyzer'!$B$5*MAX(0.9,1+NORM.INV(RAND(),$J$5,$J$6))</f>
        <v/>
      </c>
      <c r="D991" s="12">
        <f>'Deal Analyzer'!$B$24+C991+B991*'Deal Analyzer'!$B$11</f>
        <v/>
      </c>
      <c r="E991" s="15">
        <f>IF(B991=0,0,(B991-D991)/B991)</f>
        <v/>
      </c>
      <c r="F991" s="2">
        <f>E991&gt;='Deal Analyzer'!$B$12</f>
        <v/>
      </c>
      <c r="G991" s="12">
        <f>IF(AND(F991,RAND()&lt;$J$7),'Deal Analyzer'!$B$8-'Deal Analyzer'!$B$10,-('Deal Analyzer'!$B$10+'Deal Analyzer'!$B$9*'Deal Analyzer'!$B$14))</f>
        <v/>
      </c>
      <c r="H991" s="2" t="n"/>
      <c r="I991" s="2" t="n"/>
      <c r="J991" s="2" t="n"/>
      <c r="K991" s="2" t="n"/>
    </row>
    <row r="992">
      <c r="A992" s="2" t="n">
        <v>981</v>
      </c>
      <c r="B992" s="12">
        <f>MAX(0,'Deal Analyzer'!$B$4*(1+NORM.INV(RAND(),0,$J$4)))</f>
        <v/>
      </c>
      <c r="C992" s="12">
        <f>'Deal Analyzer'!$B$5*MAX(0.9,1+NORM.INV(RAND(),$J$5,$J$6))</f>
        <v/>
      </c>
      <c r="D992" s="12">
        <f>'Deal Analyzer'!$B$24+C992+B992*'Deal Analyzer'!$B$11</f>
        <v/>
      </c>
      <c r="E992" s="15">
        <f>IF(B992=0,0,(B992-D992)/B992)</f>
        <v/>
      </c>
      <c r="F992" s="2">
        <f>E992&gt;='Deal Analyzer'!$B$12</f>
        <v/>
      </c>
      <c r="G992" s="12">
        <f>IF(AND(F992,RAND()&lt;$J$7),'Deal Analyzer'!$B$8-'Deal Analyzer'!$B$10,-('Deal Analyzer'!$B$10+'Deal Analyzer'!$B$9*'Deal Analyzer'!$B$14))</f>
        <v/>
      </c>
      <c r="H992" s="2" t="n"/>
      <c r="I992" s="2" t="n"/>
      <c r="J992" s="2" t="n"/>
      <c r="K992" s="2" t="n"/>
    </row>
    <row r="993">
      <c r="A993" s="2" t="n">
        <v>982</v>
      </c>
      <c r="B993" s="12">
        <f>MAX(0,'Deal Analyzer'!$B$4*(1+NORM.INV(RAND(),0,$J$4)))</f>
        <v/>
      </c>
      <c r="C993" s="12">
        <f>'Deal Analyzer'!$B$5*MAX(0.9,1+NORM.INV(RAND(),$J$5,$J$6))</f>
        <v/>
      </c>
      <c r="D993" s="12">
        <f>'Deal Analyzer'!$B$24+C993+B993*'Deal Analyzer'!$B$11</f>
        <v/>
      </c>
      <c r="E993" s="15">
        <f>IF(B993=0,0,(B993-D993)/B993)</f>
        <v/>
      </c>
      <c r="F993" s="2">
        <f>E993&gt;='Deal Analyzer'!$B$12</f>
        <v/>
      </c>
      <c r="G993" s="12">
        <f>IF(AND(F993,RAND()&lt;$J$7),'Deal Analyzer'!$B$8-'Deal Analyzer'!$B$10,-('Deal Analyzer'!$B$10+'Deal Analyzer'!$B$9*'Deal Analyzer'!$B$14))</f>
        <v/>
      </c>
      <c r="H993" s="2" t="n"/>
      <c r="I993" s="2" t="n"/>
      <c r="J993" s="2" t="n"/>
      <c r="K993" s="2" t="n"/>
    </row>
    <row r="994">
      <c r="A994" s="2" t="n">
        <v>983</v>
      </c>
      <c r="B994" s="12">
        <f>MAX(0,'Deal Analyzer'!$B$4*(1+NORM.INV(RAND(),0,$J$4)))</f>
        <v/>
      </c>
      <c r="C994" s="12">
        <f>'Deal Analyzer'!$B$5*MAX(0.9,1+NORM.INV(RAND(),$J$5,$J$6))</f>
        <v/>
      </c>
      <c r="D994" s="12">
        <f>'Deal Analyzer'!$B$24+C994+B994*'Deal Analyzer'!$B$11</f>
        <v/>
      </c>
      <c r="E994" s="15">
        <f>IF(B994=0,0,(B994-D994)/B994)</f>
        <v/>
      </c>
      <c r="F994" s="2">
        <f>E994&gt;='Deal Analyzer'!$B$12</f>
        <v/>
      </c>
      <c r="G994" s="12">
        <f>IF(AND(F994,RAND()&lt;$J$7),'Deal Analyzer'!$B$8-'Deal Analyzer'!$B$10,-('Deal Analyzer'!$B$10+'Deal Analyzer'!$B$9*'Deal Analyzer'!$B$14))</f>
        <v/>
      </c>
      <c r="H994" s="2" t="n"/>
      <c r="I994" s="2" t="n"/>
      <c r="J994" s="2" t="n"/>
      <c r="K994" s="2" t="n"/>
    </row>
    <row r="995">
      <c r="A995" s="2" t="n">
        <v>984</v>
      </c>
      <c r="B995" s="12">
        <f>MAX(0,'Deal Analyzer'!$B$4*(1+NORM.INV(RAND(),0,$J$4)))</f>
        <v/>
      </c>
      <c r="C995" s="12">
        <f>'Deal Analyzer'!$B$5*MAX(0.9,1+NORM.INV(RAND(),$J$5,$J$6))</f>
        <v/>
      </c>
      <c r="D995" s="12">
        <f>'Deal Analyzer'!$B$24+C995+B995*'Deal Analyzer'!$B$11</f>
        <v/>
      </c>
      <c r="E995" s="15">
        <f>IF(B995=0,0,(B995-D995)/B995)</f>
        <v/>
      </c>
      <c r="F995" s="2">
        <f>E995&gt;='Deal Analyzer'!$B$12</f>
        <v/>
      </c>
      <c r="G995" s="12">
        <f>IF(AND(F995,RAND()&lt;$J$7),'Deal Analyzer'!$B$8-'Deal Analyzer'!$B$10,-('Deal Analyzer'!$B$10+'Deal Analyzer'!$B$9*'Deal Analyzer'!$B$14))</f>
        <v/>
      </c>
      <c r="H995" s="2" t="n"/>
      <c r="I995" s="2" t="n"/>
      <c r="J995" s="2" t="n"/>
      <c r="K995" s="2" t="n"/>
    </row>
    <row r="996">
      <c r="A996" s="2" t="n">
        <v>985</v>
      </c>
      <c r="B996" s="12">
        <f>MAX(0,'Deal Analyzer'!$B$4*(1+NORM.INV(RAND(),0,$J$4)))</f>
        <v/>
      </c>
      <c r="C996" s="12">
        <f>'Deal Analyzer'!$B$5*MAX(0.9,1+NORM.INV(RAND(),$J$5,$J$6))</f>
        <v/>
      </c>
      <c r="D996" s="12">
        <f>'Deal Analyzer'!$B$24+C996+B996*'Deal Analyzer'!$B$11</f>
        <v/>
      </c>
      <c r="E996" s="15">
        <f>IF(B996=0,0,(B996-D996)/B996)</f>
        <v/>
      </c>
      <c r="F996" s="2">
        <f>E996&gt;='Deal Analyzer'!$B$12</f>
        <v/>
      </c>
      <c r="G996" s="12">
        <f>IF(AND(F996,RAND()&lt;$J$7),'Deal Analyzer'!$B$8-'Deal Analyzer'!$B$10,-('Deal Analyzer'!$B$10+'Deal Analyzer'!$B$9*'Deal Analyzer'!$B$14))</f>
        <v/>
      </c>
      <c r="H996" s="2" t="n"/>
      <c r="I996" s="2" t="n"/>
      <c r="J996" s="2" t="n"/>
      <c r="K996" s="2" t="n"/>
    </row>
    <row r="997">
      <c r="A997" s="2" t="n">
        <v>986</v>
      </c>
      <c r="B997" s="12">
        <f>MAX(0,'Deal Analyzer'!$B$4*(1+NORM.INV(RAND(),0,$J$4)))</f>
        <v/>
      </c>
      <c r="C997" s="12">
        <f>'Deal Analyzer'!$B$5*MAX(0.9,1+NORM.INV(RAND(),$J$5,$J$6))</f>
        <v/>
      </c>
      <c r="D997" s="12">
        <f>'Deal Analyzer'!$B$24+C997+B997*'Deal Analyzer'!$B$11</f>
        <v/>
      </c>
      <c r="E997" s="15">
        <f>IF(B997=0,0,(B997-D997)/B997)</f>
        <v/>
      </c>
      <c r="F997" s="2">
        <f>E997&gt;='Deal Analyzer'!$B$12</f>
        <v/>
      </c>
      <c r="G997" s="12">
        <f>IF(AND(F997,RAND()&lt;$J$7),'Deal Analyzer'!$B$8-'Deal Analyzer'!$B$10,-('Deal Analyzer'!$B$10+'Deal Analyzer'!$B$9*'Deal Analyzer'!$B$14))</f>
        <v/>
      </c>
      <c r="H997" s="2" t="n"/>
      <c r="I997" s="2" t="n"/>
      <c r="J997" s="2" t="n"/>
      <c r="K997" s="2" t="n"/>
    </row>
    <row r="998">
      <c r="A998" s="2" t="n">
        <v>987</v>
      </c>
      <c r="B998" s="12">
        <f>MAX(0,'Deal Analyzer'!$B$4*(1+NORM.INV(RAND(),0,$J$4)))</f>
        <v/>
      </c>
      <c r="C998" s="12">
        <f>'Deal Analyzer'!$B$5*MAX(0.9,1+NORM.INV(RAND(),$J$5,$J$6))</f>
        <v/>
      </c>
      <c r="D998" s="12">
        <f>'Deal Analyzer'!$B$24+C998+B998*'Deal Analyzer'!$B$11</f>
        <v/>
      </c>
      <c r="E998" s="15">
        <f>IF(B998=0,0,(B998-D998)/B998)</f>
        <v/>
      </c>
      <c r="F998" s="2">
        <f>E998&gt;='Deal Analyzer'!$B$12</f>
        <v/>
      </c>
      <c r="G998" s="12">
        <f>IF(AND(F998,RAND()&lt;$J$7),'Deal Analyzer'!$B$8-'Deal Analyzer'!$B$10,-('Deal Analyzer'!$B$10+'Deal Analyzer'!$B$9*'Deal Analyzer'!$B$14))</f>
        <v/>
      </c>
      <c r="H998" s="2" t="n"/>
      <c r="I998" s="2" t="n"/>
      <c r="J998" s="2" t="n"/>
      <c r="K998" s="2" t="n"/>
    </row>
    <row r="999">
      <c r="A999" s="2" t="n">
        <v>988</v>
      </c>
      <c r="B999" s="12">
        <f>MAX(0,'Deal Analyzer'!$B$4*(1+NORM.INV(RAND(),0,$J$4)))</f>
        <v/>
      </c>
      <c r="C999" s="12">
        <f>'Deal Analyzer'!$B$5*MAX(0.9,1+NORM.INV(RAND(),$J$5,$J$6))</f>
        <v/>
      </c>
      <c r="D999" s="12">
        <f>'Deal Analyzer'!$B$24+C999+B999*'Deal Analyzer'!$B$11</f>
        <v/>
      </c>
      <c r="E999" s="15">
        <f>IF(B999=0,0,(B999-D999)/B999)</f>
        <v/>
      </c>
      <c r="F999" s="2">
        <f>E999&gt;='Deal Analyzer'!$B$12</f>
        <v/>
      </c>
      <c r="G999" s="12">
        <f>IF(AND(F999,RAND()&lt;$J$7),'Deal Analyzer'!$B$8-'Deal Analyzer'!$B$10,-('Deal Analyzer'!$B$10+'Deal Analyzer'!$B$9*'Deal Analyzer'!$B$14))</f>
        <v/>
      </c>
      <c r="H999" s="2" t="n"/>
      <c r="I999" s="2" t="n"/>
      <c r="J999" s="2" t="n"/>
      <c r="K999" s="2" t="n"/>
    </row>
    <row r="1000">
      <c r="A1000" s="2" t="n">
        <v>989</v>
      </c>
      <c r="B1000" s="12">
        <f>MAX(0,'Deal Analyzer'!$B$4*(1+NORM.INV(RAND(),0,$J$4)))</f>
        <v/>
      </c>
      <c r="C1000" s="12">
        <f>'Deal Analyzer'!$B$5*MAX(0.9,1+NORM.INV(RAND(),$J$5,$J$6))</f>
        <v/>
      </c>
      <c r="D1000" s="12">
        <f>'Deal Analyzer'!$B$24+C1000+B1000*'Deal Analyzer'!$B$11</f>
        <v/>
      </c>
      <c r="E1000" s="15">
        <f>IF(B1000=0,0,(B1000-D1000)/B1000)</f>
        <v/>
      </c>
      <c r="F1000" s="2">
        <f>E1000&gt;='Deal Analyzer'!$B$12</f>
        <v/>
      </c>
      <c r="G1000" s="12">
        <f>IF(AND(F1000,RAND()&lt;$J$7),'Deal Analyzer'!$B$8-'Deal Analyzer'!$B$10,-('Deal Analyzer'!$B$10+'Deal Analyzer'!$B$9*'Deal Analyzer'!$B$14))</f>
        <v/>
      </c>
      <c r="H1000" s="2" t="n"/>
      <c r="I1000" s="2" t="n"/>
      <c r="J1000" s="2" t="n"/>
      <c r="K1000" s="2" t="n"/>
    </row>
    <row r="1001">
      <c r="A1001" s="2" t="n">
        <v>990</v>
      </c>
      <c r="B1001" s="12">
        <f>MAX(0,'Deal Analyzer'!$B$4*(1+NORM.INV(RAND(),0,$J$4)))</f>
        <v/>
      </c>
      <c r="C1001" s="12">
        <f>'Deal Analyzer'!$B$5*MAX(0.9,1+NORM.INV(RAND(),$J$5,$J$6))</f>
        <v/>
      </c>
      <c r="D1001" s="12">
        <f>'Deal Analyzer'!$B$24+C1001+B1001*'Deal Analyzer'!$B$11</f>
        <v/>
      </c>
      <c r="E1001" s="15">
        <f>IF(B1001=0,0,(B1001-D1001)/B1001)</f>
        <v/>
      </c>
      <c r="F1001" s="2">
        <f>E1001&gt;='Deal Analyzer'!$B$12</f>
        <v/>
      </c>
      <c r="G1001" s="12">
        <f>IF(AND(F1001,RAND()&lt;$J$7),'Deal Analyzer'!$B$8-'Deal Analyzer'!$B$10,-('Deal Analyzer'!$B$10+'Deal Analyzer'!$B$9*'Deal Analyzer'!$B$14))</f>
        <v/>
      </c>
      <c r="H1001" s="2" t="n"/>
      <c r="I1001" s="2" t="n"/>
      <c r="J1001" s="2" t="n"/>
      <c r="K1001" s="2" t="n"/>
    </row>
    <row r="1002">
      <c r="A1002" s="2" t="n">
        <v>991</v>
      </c>
      <c r="B1002" s="12">
        <f>MAX(0,'Deal Analyzer'!$B$4*(1+NORM.INV(RAND(),0,$J$4)))</f>
        <v/>
      </c>
      <c r="C1002" s="12">
        <f>'Deal Analyzer'!$B$5*MAX(0.9,1+NORM.INV(RAND(),$J$5,$J$6))</f>
        <v/>
      </c>
      <c r="D1002" s="12">
        <f>'Deal Analyzer'!$B$24+C1002+B1002*'Deal Analyzer'!$B$11</f>
        <v/>
      </c>
      <c r="E1002" s="15">
        <f>IF(B1002=0,0,(B1002-D1002)/B1002)</f>
        <v/>
      </c>
      <c r="F1002" s="2">
        <f>E1002&gt;='Deal Analyzer'!$B$12</f>
        <v/>
      </c>
      <c r="G1002" s="12">
        <f>IF(AND(F1002,RAND()&lt;$J$7),'Deal Analyzer'!$B$8-'Deal Analyzer'!$B$10,-('Deal Analyzer'!$B$10+'Deal Analyzer'!$B$9*'Deal Analyzer'!$B$14))</f>
        <v/>
      </c>
      <c r="H1002" s="2" t="n"/>
      <c r="I1002" s="2" t="n"/>
      <c r="J1002" s="2" t="n"/>
      <c r="K1002" s="2" t="n"/>
    </row>
    <row r="1003">
      <c r="A1003" s="2" t="n">
        <v>992</v>
      </c>
      <c r="B1003" s="12">
        <f>MAX(0,'Deal Analyzer'!$B$4*(1+NORM.INV(RAND(),0,$J$4)))</f>
        <v/>
      </c>
      <c r="C1003" s="12">
        <f>'Deal Analyzer'!$B$5*MAX(0.9,1+NORM.INV(RAND(),$J$5,$J$6))</f>
        <v/>
      </c>
      <c r="D1003" s="12">
        <f>'Deal Analyzer'!$B$24+C1003+B1003*'Deal Analyzer'!$B$11</f>
        <v/>
      </c>
      <c r="E1003" s="15">
        <f>IF(B1003=0,0,(B1003-D1003)/B1003)</f>
        <v/>
      </c>
      <c r="F1003" s="2">
        <f>E1003&gt;='Deal Analyzer'!$B$12</f>
        <v/>
      </c>
      <c r="G1003" s="12">
        <f>IF(AND(F1003,RAND()&lt;$J$7),'Deal Analyzer'!$B$8-'Deal Analyzer'!$B$10,-('Deal Analyzer'!$B$10+'Deal Analyzer'!$B$9*'Deal Analyzer'!$B$14))</f>
        <v/>
      </c>
      <c r="H1003" s="2" t="n"/>
      <c r="I1003" s="2" t="n"/>
      <c r="J1003" s="2" t="n"/>
      <c r="K1003" s="2" t="n"/>
    </row>
    <row r="1004">
      <c r="A1004" s="2" t="n">
        <v>993</v>
      </c>
      <c r="B1004" s="12">
        <f>MAX(0,'Deal Analyzer'!$B$4*(1+NORM.INV(RAND(),0,$J$4)))</f>
        <v/>
      </c>
      <c r="C1004" s="12">
        <f>'Deal Analyzer'!$B$5*MAX(0.9,1+NORM.INV(RAND(),$J$5,$J$6))</f>
        <v/>
      </c>
      <c r="D1004" s="12">
        <f>'Deal Analyzer'!$B$24+C1004+B1004*'Deal Analyzer'!$B$11</f>
        <v/>
      </c>
      <c r="E1004" s="15">
        <f>IF(B1004=0,0,(B1004-D1004)/B1004)</f>
        <v/>
      </c>
      <c r="F1004" s="2">
        <f>E1004&gt;='Deal Analyzer'!$B$12</f>
        <v/>
      </c>
      <c r="G1004" s="12">
        <f>IF(AND(F1004,RAND()&lt;$J$7),'Deal Analyzer'!$B$8-'Deal Analyzer'!$B$10,-('Deal Analyzer'!$B$10+'Deal Analyzer'!$B$9*'Deal Analyzer'!$B$14))</f>
        <v/>
      </c>
      <c r="H1004" s="2" t="n"/>
      <c r="I1004" s="2" t="n"/>
      <c r="J1004" s="2" t="n"/>
      <c r="K1004" s="2" t="n"/>
    </row>
    <row r="1005">
      <c r="A1005" s="2" t="n">
        <v>994</v>
      </c>
      <c r="B1005" s="12">
        <f>MAX(0,'Deal Analyzer'!$B$4*(1+NORM.INV(RAND(),0,$J$4)))</f>
        <v/>
      </c>
      <c r="C1005" s="12">
        <f>'Deal Analyzer'!$B$5*MAX(0.9,1+NORM.INV(RAND(),$J$5,$J$6))</f>
        <v/>
      </c>
      <c r="D1005" s="12">
        <f>'Deal Analyzer'!$B$24+C1005+B1005*'Deal Analyzer'!$B$11</f>
        <v/>
      </c>
      <c r="E1005" s="15">
        <f>IF(B1005=0,0,(B1005-D1005)/B1005)</f>
        <v/>
      </c>
      <c r="F1005" s="2">
        <f>E1005&gt;='Deal Analyzer'!$B$12</f>
        <v/>
      </c>
      <c r="G1005" s="12">
        <f>IF(AND(F1005,RAND()&lt;$J$7),'Deal Analyzer'!$B$8-'Deal Analyzer'!$B$10,-('Deal Analyzer'!$B$10+'Deal Analyzer'!$B$9*'Deal Analyzer'!$B$14))</f>
        <v/>
      </c>
      <c r="H1005" s="2" t="n"/>
      <c r="I1005" s="2" t="n"/>
      <c r="J1005" s="2" t="n"/>
      <c r="K1005" s="2" t="n"/>
    </row>
    <row r="1006">
      <c r="A1006" s="2" t="n">
        <v>995</v>
      </c>
      <c r="B1006" s="12">
        <f>MAX(0,'Deal Analyzer'!$B$4*(1+NORM.INV(RAND(),0,$J$4)))</f>
        <v/>
      </c>
      <c r="C1006" s="12">
        <f>'Deal Analyzer'!$B$5*MAX(0.9,1+NORM.INV(RAND(),$J$5,$J$6))</f>
        <v/>
      </c>
      <c r="D1006" s="12">
        <f>'Deal Analyzer'!$B$24+C1006+B1006*'Deal Analyzer'!$B$11</f>
        <v/>
      </c>
      <c r="E1006" s="15">
        <f>IF(B1006=0,0,(B1006-D1006)/B1006)</f>
        <v/>
      </c>
      <c r="F1006" s="2">
        <f>E1006&gt;='Deal Analyzer'!$B$12</f>
        <v/>
      </c>
      <c r="G1006" s="12">
        <f>IF(AND(F1006,RAND()&lt;$J$7),'Deal Analyzer'!$B$8-'Deal Analyzer'!$B$10,-('Deal Analyzer'!$B$10+'Deal Analyzer'!$B$9*'Deal Analyzer'!$B$14))</f>
        <v/>
      </c>
      <c r="H1006" s="2" t="n"/>
      <c r="I1006" s="2" t="n"/>
      <c r="J1006" s="2" t="n"/>
      <c r="K1006" s="2" t="n"/>
    </row>
    <row r="1007">
      <c r="A1007" s="2" t="n">
        <v>996</v>
      </c>
      <c r="B1007" s="12">
        <f>MAX(0,'Deal Analyzer'!$B$4*(1+NORM.INV(RAND(),0,$J$4)))</f>
        <v/>
      </c>
      <c r="C1007" s="12">
        <f>'Deal Analyzer'!$B$5*MAX(0.9,1+NORM.INV(RAND(),$J$5,$J$6))</f>
        <v/>
      </c>
      <c r="D1007" s="12">
        <f>'Deal Analyzer'!$B$24+C1007+B1007*'Deal Analyzer'!$B$11</f>
        <v/>
      </c>
      <c r="E1007" s="15">
        <f>IF(B1007=0,0,(B1007-D1007)/B1007)</f>
        <v/>
      </c>
      <c r="F1007" s="2">
        <f>E1007&gt;='Deal Analyzer'!$B$12</f>
        <v/>
      </c>
      <c r="G1007" s="12">
        <f>IF(AND(F1007,RAND()&lt;$J$7),'Deal Analyzer'!$B$8-'Deal Analyzer'!$B$10,-('Deal Analyzer'!$B$10+'Deal Analyzer'!$B$9*'Deal Analyzer'!$B$14))</f>
        <v/>
      </c>
      <c r="H1007" s="2" t="n"/>
      <c r="I1007" s="2" t="n"/>
      <c r="J1007" s="2" t="n"/>
      <c r="K1007" s="2" t="n"/>
    </row>
    <row r="1008">
      <c r="A1008" s="2" t="n">
        <v>997</v>
      </c>
      <c r="B1008" s="12">
        <f>MAX(0,'Deal Analyzer'!$B$4*(1+NORM.INV(RAND(),0,$J$4)))</f>
        <v/>
      </c>
      <c r="C1008" s="12">
        <f>'Deal Analyzer'!$B$5*MAX(0.9,1+NORM.INV(RAND(),$J$5,$J$6))</f>
        <v/>
      </c>
      <c r="D1008" s="12">
        <f>'Deal Analyzer'!$B$24+C1008+B1008*'Deal Analyzer'!$B$11</f>
        <v/>
      </c>
      <c r="E1008" s="15">
        <f>IF(B1008=0,0,(B1008-D1008)/B1008)</f>
        <v/>
      </c>
      <c r="F1008" s="2">
        <f>E1008&gt;='Deal Analyzer'!$B$12</f>
        <v/>
      </c>
      <c r="G1008" s="12">
        <f>IF(AND(F1008,RAND()&lt;$J$7),'Deal Analyzer'!$B$8-'Deal Analyzer'!$B$10,-('Deal Analyzer'!$B$10+'Deal Analyzer'!$B$9*'Deal Analyzer'!$B$14))</f>
        <v/>
      </c>
      <c r="H1008" s="2" t="n"/>
      <c r="I1008" s="2" t="n"/>
      <c r="J1008" s="2" t="n"/>
      <c r="K1008" s="2" t="n"/>
    </row>
    <row r="1009">
      <c r="A1009" s="2" t="n">
        <v>998</v>
      </c>
      <c r="B1009" s="12">
        <f>MAX(0,'Deal Analyzer'!$B$4*(1+NORM.INV(RAND(),0,$J$4)))</f>
        <v/>
      </c>
      <c r="C1009" s="12">
        <f>'Deal Analyzer'!$B$5*MAX(0.9,1+NORM.INV(RAND(),$J$5,$J$6))</f>
        <v/>
      </c>
      <c r="D1009" s="12">
        <f>'Deal Analyzer'!$B$24+C1009+B1009*'Deal Analyzer'!$B$11</f>
        <v/>
      </c>
      <c r="E1009" s="15">
        <f>IF(B1009=0,0,(B1009-D1009)/B1009)</f>
        <v/>
      </c>
      <c r="F1009" s="2">
        <f>E1009&gt;='Deal Analyzer'!$B$12</f>
        <v/>
      </c>
      <c r="G1009" s="12">
        <f>IF(AND(F1009,RAND()&lt;$J$7),'Deal Analyzer'!$B$8-'Deal Analyzer'!$B$10,-('Deal Analyzer'!$B$10+'Deal Analyzer'!$B$9*'Deal Analyzer'!$B$14))</f>
        <v/>
      </c>
      <c r="H1009" s="2" t="n"/>
      <c r="I1009" s="2" t="n"/>
      <c r="J1009" s="2" t="n"/>
      <c r="K1009" s="2" t="n"/>
    </row>
    <row r="1010">
      <c r="A1010" s="2" t="n">
        <v>999</v>
      </c>
      <c r="B1010" s="12">
        <f>MAX(0,'Deal Analyzer'!$B$4*(1+NORM.INV(RAND(),0,$J$4)))</f>
        <v/>
      </c>
      <c r="C1010" s="12">
        <f>'Deal Analyzer'!$B$5*MAX(0.9,1+NORM.INV(RAND(),$J$5,$J$6))</f>
        <v/>
      </c>
      <c r="D1010" s="12">
        <f>'Deal Analyzer'!$B$24+C1010+B1010*'Deal Analyzer'!$B$11</f>
        <v/>
      </c>
      <c r="E1010" s="15">
        <f>IF(B1010=0,0,(B1010-D1010)/B1010)</f>
        <v/>
      </c>
      <c r="F1010" s="2">
        <f>E1010&gt;='Deal Analyzer'!$B$12</f>
        <v/>
      </c>
      <c r="G1010" s="12">
        <f>IF(AND(F1010,RAND()&lt;$J$7),'Deal Analyzer'!$B$8-'Deal Analyzer'!$B$10,-('Deal Analyzer'!$B$10+'Deal Analyzer'!$B$9*'Deal Analyzer'!$B$14))</f>
        <v/>
      </c>
      <c r="H1010" s="2" t="n"/>
      <c r="I1010" s="2" t="n"/>
      <c r="J1010" s="2" t="n"/>
      <c r="K1010" s="2" t="n"/>
    </row>
    <row r="1011">
      <c r="A1011" s="2" t="n">
        <v>1000</v>
      </c>
      <c r="B1011" s="12">
        <f>MAX(0,'Deal Analyzer'!$B$4*(1+NORM.INV(RAND(),0,$J$4)))</f>
        <v/>
      </c>
      <c r="C1011" s="12">
        <f>'Deal Analyzer'!$B$5*MAX(0.9,1+NORM.INV(RAND(),$J$5,$J$6))</f>
        <v/>
      </c>
      <c r="D1011" s="12">
        <f>'Deal Analyzer'!$B$24+C1011+B1011*'Deal Analyzer'!$B$11</f>
        <v/>
      </c>
      <c r="E1011" s="15">
        <f>IF(B1011=0,0,(B1011-D1011)/B1011)</f>
        <v/>
      </c>
      <c r="F1011" s="2">
        <f>E1011&gt;='Deal Analyzer'!$B$12</f>
        <v/>
      </c>
      <c r="G1011" s="12">
        <f>IF(AND(F1011,RAND()&lt;$J$7),'Deal Analyzer'!$B$8-'Deal Analyzer'!$B$10,-('Deal Analyzer'!$B$10+'Deal Analyzer'!$B$9*'Deal Analyzer'!$B$14))</f>
        <v/>
      </c>
      <c r="H1011" s="2" t="n"/>
      <c r="I1011" s="2" t="n"/>
      <c r="J1011" s="2" t="n"/>
      <c r="K1011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2026-10-06T08:46:30Z</dcterms:created>
  <dcterms:modified xsi:type="dcterms:W3CDTF">2026-10-06T08:46:30Z</dcterms:modified>
</cp:coreProperties>
</file>